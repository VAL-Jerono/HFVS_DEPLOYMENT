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eonida/Documents/code/Accessibility_Holy_Grail/Dissertation/HFVS_DEPLOYMENT/"/>
    </mc:Choice>
  </mc:AlternateContent>
  <xr:revisionPtr revIDLastSave="0" documentId="8_{A5AE4F8D-B6BD-0E4D-848C-947B70181F2B}" xr6:coauthVersionLast="47" xr6:coauthVersionMax="47" xr10:uidLastSave="{00000000-0000-0000-0000-000000000000}"/>
  <bookViews>
    <workbookView xWindow="2300" yWindow="1080" windowWidth="16380" windowHeight="14340" tabRatio="500" activeTab="1" xr2:uid="{00000000-000D-0000-FFFF-FFFF00000000}"/>
  </bookViews>
  <sheets>
    <sheet name="README" sheetId="1" r:id="rId1"/>
    <sheet name="Notebook_Reference" sheetId="2" r:id="rId2"/>
    <sheet name="MILP_Model" sheetId="3" r:id="rId3"/>
    <sheet name="County_Spotlight" sheetId="4" r:id="rId4"/>
  </sheets>
  <definedNames>
    <definedName name="solver_adj" localSheetId="2" hidden="1">MILP_Model!$I$4:$J$50</definedName>
    <definedName name="solver_cvg" localSheetId="2" hidden="1">0.0001</definedName>
    <definedName name="solver_drv" localSheetId="2" hidden="1">1</definedName>
    <definedName name="solver_eng" localSheetId="3" hidden="1">1</definedName>
    <definedName name="solver_eng" localSheetId="2" hidden="1">1</definedName>
    <definedName name="solver_itr" localSheetId="2" hidden="1">2147483647</definedName>
    <definedName name="solver_lhs1" localSheetId="2" hidden="1">MILP_Model!$I$4:$I$50</definedName>
    <definedName name="solver_lhs2" localSheetId="2" hidden="1">MILP_Model!$J$4:$J$50</definedName>
    <definedName name="solver_lhs3" localSheetId="2" hidden="1">MILP_Model!$J$4:$J$50</definedName>
    <definedName name="solver_lhs4" localSheetId="2" hidden="1">MILP_Model!$J$4:$J$50</definedName>
    <definedName name="solver_lhs5" localSheetId="2" hidden="1">MILP_Model!$R$2</definedName>
    <definedName name="solver_lhs6" localSheetId="2" hidden="1">MILP_Model!$R$3</definedName>
    <definedName name="solver_lhs7" localSheetId="2" hidden="1">MILP_Model!$R$3</definedName>
    <definedName name="solver_lin" localSheetId="3" hidden="1">2</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3" hidden="1">1</definedName>
    <definedName name="solver_neg" localSheetId="2" hidden="1">1</definedName>
    <definedName name="solver_nod" localSheetId="2" hidden="1">2147483647</definedName>
    <definedName name="solver_num" localSheetId="3" hidden="1">0</definedName>
    <definedName name="solver_num" localSheetId="2" hidden="1">7</definedName>
    <definedName name="solver_opt" localSheetId="3" hidden="1">County_Spotlight!$C$4</definedName>
    <definedName name="solver_opt" localSheetId="2" hidden="1">MILP_Model!$R$4</definedName>
    <definedName name="solver_pre" localSheetId="2" hidden="1">0.000001</definedName>
    <definedName name="solver_rbv" localSheetId="2" hidden="1">1</definedName>
    <definedName name="solver_rel1" localSheetId="2" hidden="1">5</definedName>
    <definedName name="solver_rel2" localSheetId="2" hidden="1">1</definedName>
    <definedName name="solver_rel3" localSheetId="2" hidden="1">4</definedName>
    <definedName name="solver_rel4" localSheetId="2" hidden="1">3</definedName>
    <definedName name="solver_rel5" localSheetId="2" hidden="1">1</definedName>
    <definedName name="solver_rel6" localSheetId="2" hidden="1">1</definedName>
    <definedName name="solver_rel7" localSheetId="2" hidden="1">1</definedName>
    <definedName name="solver_rhs1" localSheetId="2" hidden="1">"binary"</definedName>
    <definedName name="solver_rhs2" localSheetId="2" hidden="1">MILP_Model!$L$4:$L$50</definedName>
    <definedName name="solver_rhs3" localSheetId="2" hidden="1">"integer"</definedName>
    <definedName name="solver_rhs4" localSheetId="2" hidden="1">MILP_Model!$M$4:$M$50</definedName>
    <definedName name="solver_rhs5" localSheetId="2" hidden="1">MILP_Model!$C$54</definedName>
    <definedName name="solver_rhs6" localSheetId="2" hidden="1">MILP_Model!$C$54</definedName>
    <definedName name="solver_rhs7" localSheetId="2" hidden="1">MILP_Model!$C$55</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3" hidden="1">1</definedName>
    <definedName name="solver_typ" localSheetId="2" hidden="1">1</definedName>
    <definedName name="solver_val" localSheetId="3" hidden="1">0</definedName>
    <definedName name="solver_val" localSheetId="2" hidden="1">0</definedName>
    <definedName name="solver_ver" localSheetId="3" hidden="1">2</definedName>
    <definedName name="solver_ver" localSheetId="2" hidden="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4" l="1"/>
  <c r="C10" i="4"/>
  <c r="C9" i="4"/>
  <c r="C8" i="4"/>
  <c r="C7" i="4"/>
  <c r="C6" i="4"/>
  <c r="D53" i="3"/>
  <c r="D52" i="3"/>
  <c r="O50" i="3"/>
  <c r="M50" i="3"/>
  <c r="L50" i="3"/>
  <c r="H50" i="3"/>
  <c r="G50" i="3"/>
  <c r="K50" i="3" s="1"/>
  <c r="O49" i="3"/>
  <c r="M49" i="3"/>
  <c r="L49" i="3"/>
  <c r="H49" i="3"/>
  <c r="G49" i="3"/>
  <c r="K49" i="3" s="1"/>
  <c r="O48" i="3"/>
  <c r="M48" i="3"/>
  <c r="L48" i="3"/>
  <c r="H48" i="3"/>
  <c r="G48" i="3"/>
  <c r="K48" i="3" s="1"/>
  <c r="O47" i="3"/>
  <c r="M47" i="3"/>
  <c r="L47" i="3"/>
  <c r="H47" i="3"/>
  <c r="G47" i="3"/>
  <c r="K47" i="3" s="1"/>
  <c r="O46" i="3"/>
  <c r="M46" i="3"/>
  <c r="L46" i="3"/>
  <c r="H46" i="3"/>
  <c r="G46" i="3"/>
  <c r="K46" i="3" s="1"/>
  <c r="O45" i="3"/>
  <c r="M45" i="3"/>
  <c r="L45" i="3"/>
  <c r="H45" i="3"/>
  <c r="G45" i="3"/>
  <c r="K45" i="3" s="1"/>
  <c r="O44" i="3"/>
  <c r="M44" i="3"/>
  <c r="L44" i="3"/>
  <c r="H44" i="3"/>
  <c r="G44" i="3"/>
  <c r="K44" i="3" s="1"/>
  <c r="O43" i="3"/>
  <c r="M43" i="3"/>
  <c r="L43" i="3"/>
  <c r="H43" i="3"/>
  <c r="G43" i="3"/>
  <c r="K43" i="3" s="1"/>
  <c r="O42" i="3"/>
  <c r="M42" i="3"/>
  <c r="L42" i="3"/>
  <c r="H42" i="3"/>
  <c r="G42" i="3"/>
  <c r="K42" i="3" s="1"/>
  <c r="O41" i="3"/>
  <c r="M41" i="3"/>
  <c r="L41" i="3"/>
  <c r="H41" i="3"/>
  <c r="G41" i="3"/>
  <c r="K41" i="3" s="1"/>
  <c r="O40" i="3"/>
  <c r="M40" i="3"/>
  <c r="L40" i="3"/>
  <c r="H40" i="3"/>
  <c r="G40" i="3"/>
  <c r="K40" i="3" s="1"/>
  <c r="O39" i="3"/>
  <c r="M39" i="3"/>
  <c r="L39" i="3"/>
  <c r="H39" i="3"/>
  <c r="G39" i="3"/>
  <c r="K39" i="3" s="1"/>
  <c r="O38" i="3"/>
  <c r="M38" i="3"/>
  <c r="L38" i="3"/>
  <c r="H38" i="3"/>
  <c r="G38" i="3"/>
  <c r="K38" i="3" s="1"/>
  <c r="O37" i="3"/>
  <c r="M37" i="3"/>
  <c r="L37" i="3"/>
  <c r="H37" i="3"/>
  <c r="G37" i="3"/>
  <c r="K37" i="3" s="1"/>
  <c r="O36" i="3"/>
  <c r="M36" i="3"/>
  <c r="L36" i="3"/>
  <c r="H36" i="3"/>
  <c r="G36" i="3"/>
  <c r="K36" i="3" s="1"/>
  <c r="O35" i="3"/>
  <c r="M35" i="3"/>
  <c r="L35" i="3"/>
  <c r="H35" i="3"/>
  <c r="G35" i="3"/>
  <c r="K35" i="3" s="1"/>
  <c r="O34" i="3"/>
  <c r="M34" i="3"/>
  <c r="L34" i="3"/>
  <c r="H34" i="3"/>
  <c r="G34" i="3"/>
  <c r="K34" i="3" s="1"/>
  <c r="O33" i="3"/>
  <c r="M33" i="3"/>
  <c r="L33" i="3"/>
  <c r="H33" i="3"/>
  <c r="G33" i="3"/>
  <c r="K33" i="3" s="1"/>
  <c r="O32" i="3"/>
  <c r="M32" i="3"/>
  <c r="L32" i="3"/>
  <c r="H32" i="3"/>
  <c r="G32" i="3"/>
  <c r="K32" i="3" s="1"/>
  <c r="O31" i="3"/>
  <c r="M31" i="3"/>
  <c r="L31" i="3"/>
  <c r="H31" i="3"/>
  <c r="G31" i="3"/>
  <c r="K31" i="3" s="1"/>
  <c r="O30" i="3"/>
  <c r="M30" i="3"/>
  <c r="L30" i="3"/>
  <c r="H30" i="3"/>
  <c r="G30" i="3"/>
  <c r="K30" i="3" s="1"/>
  <c r="O29" i="3"/>
  <c r="M29" i="3"/>
  <c r="L29" i="3"/>
  <c r="H29" i="3"/>
  <c r="G29" i="3"/>
  <c r="K29" i="3" s="1"/>
  <c r="O28" i="3"/>
  <c r="M28" i="3"/>
  <c r="L28" i="3"/>
  <c r="H28" i="3"/>
  <c r="G28" i="3"/>
  <c r="K28" i="3" s="1"/>
  <c r="O27" i="3"/>
  <c r="M27" i="3"/>
  <c r="L27" i="3"/>
  <c r="H27" i="3"/>
  <c r="G27" i="3"/>
  <c r="K27" i="3" s="1"/>
  <c r="O26" i="3"/>
  <c r="M26" i="3"/>
  <c r="L26" i="3"/>
  <c r="H26" i="3"/>
  <c r="G26" i="3"/>
  <c r="K26" i="3" s="1"/>
  <c r="O25" i="3"/>
  <c r="M25" i="3"/>
  <c r="L25" i="3"/>
  <c r="H25" i="3"/>
  <c r="G25" i="3"/>
  <c r="K25" i="3" s="1"/>
  <c r="O24" i="3"/>
  <c r="M24" i="3"/>
  <c r="L24" i="3"/>
  <c r="H24" i="3"/>
  <c r="G24" i="3"/>
  <c r="K24" i="3" s="1"/>
  <c r="O23" i="3"/>
  <c r="M23" i="3"/>
  <c r="L23" i="3"/>
  <c r="H23" i="3"/>
  <c r="G23" i="3"/>
  <c r="K23" i="3" s="1"/>
  <c r="O22" i="3"/>
  <c r="M22" i="3"/>
  <c r="L22" i="3"/>
  <c r="H22" i="3"/>
  <c r="K22" i="3" s="1"/>
  <c r="G22" i="3"/>
  <c r="O21" i="3"/>
  <c r="M21" i="3"/>
  <c r="L21" i="3"/>
  <c r="H21" i="3"/>
  <c r="G21" i="3"/>
  <c r="K21" i="3" s="1"/>
  <c r="O20" i="3"/>
  <c r="M20" i="3"/>
  <c r="L20" i="3"/>
  <c r="H20" i="3"/>
  <c r="K20" i="3" s="1"/>
  <c r="G20" i="3"/>
  <c r="O19" i="3"/>
  <c r="M19" i="3"/>
  <c r="L19" i="3"/>
  <c r="H19" i="3"/>
  <c r="G19" i="3"/>
  <c r="K19" i="3" s="1"/>
  <c r="O18" i="3"/>
  <c r="M18" i="3"/>
  <c r="L18" i="3"/>
  <c r="H18" i="3"/>
  <c r="K18" i="3" s="1"/>
  <c r="G18" i="3"/>
  <c r="O17" i="3"/>
  <c r="M17" i="3"/>
  <c r="L17" i="3"/>
  <c r="H17" i="3"/>
  <c r="G17" i="3"/>
  <c r="K17" i="3" s="1"/>
  <c r="O16" i="3"/>
  <c r="M16" i="3"/>
  <c r="L16" i="3"/>
  <c r="H16" i="3"/>
  <c r="K16" i="3" s="1"/>
  <c r="G16" i="3"/>
  <c r="O15" i="3"/>
  <c r="M15" i="3"/>
  <c r="L15" i="3"/>
  <c r="H15" i="3"/>
  <c r="G15" i="3"/>
  <c r="K15" i="3" s="1"/>
  <c r="O14" i="3"/>
  <c r="M14" i="3"/>
  <c r="L14" i="3"/>
  <c r="H14" i="3"/>
  <c r="K14" i="3" s="1"/>
  <c r="G14" i="3"/>
  <c r="O13" i="3"/>
  <c r="M13" i="3"/>
  <c r="L13" i="3"/>
  <c r="H13" i="3"/>
  <c r="G13" i="3"/>
  <c r="K13" i="3" s="1"/>
  <c r="O12" i="3"/>
  <c r="M12" i="3"/>
  <c r="L12" i="3"/>
  <c r="H12" i="3"/>
  <c r="K12" i="3" s="1"/>
  <c r="G12" i="3"/>
  <c r="O11" i="3"/>
  <c r="M11" i="3"/>
  <c r="L11" i="3"/>
  <c r="H11" i="3"/>
  <c r="G11" i="3"/>
  <c r="K11" i="3" s="1"/>
  <c r="O10" i="3"/>
  <c r="M10" i="3"/>
  <c r="L10" i="3"/>
  <c r="H10" i="3"/>
  <c r="K10" i="3" s="1"/>
  <c r="G10" i="3"/>
  <c r="O9" i="3"/>
  <c r="M9" i="3"/>
  <c r="L9" i="3"/>
  <c r="H9" i="3"/>
  <c r="G9" i="3"/>
  <c r="K9" i="3" s="1"/>
  <c r="O8" i="3"/>
  <c r="M8" i="3"/>
  <c r="L8" i="3"/>
  <c r="H8" i="3"/>
  <c r="K8" i="3" s="1"/>
  <c r="G8" i="3"/>
  <c r="O7" i="3"/>
  <c r="M7" i="3"/>
  <c r="L7" i="3"/>
  <c r="H7" i="3"/>
  <c r="G7" i="3"/>
  <c r="K7" i="3" s="1"/>
  <c r="O6" i="3"/>
  <c r="M6" i="3"/>
  <c r="L6" i="3"/>
  <c r="H6" i="3"/>
  <c r="K6" i="3" s="1"/>
  <c r="G6" i="3"/>
  <c r="O5" i="3"/>
  <c r="M5" i="3"/>
  <c r="L5" i="3"/>
  <c r="H5" i="3"/>
  <c r="G5" i="3"/>
  <c r="K5" i="3" s="1"/>
  <c r="O4" i="3"/>
  <c r="M4" i="3"/>
  <c r="L4" i="3"/>
  <c r="H4" i="3"/>
  <c r="G4" i="3"/>
  <c r="K4" i="3" s="1"/>
  <c r="R3" i="3"/>
  <c r="R6" i="3" s="1"/>
  <c r="R2" i="3"/>
  <c r="R5" i="3" s="1"/>
  <c r="C19" i="4" l="1"/>
  <c r="C17" i="4"/>
  <c r="C18" i="4" s="1"/>
  <c r="R4" i="3"/>
  <c r="C14" i="4"/>
</calcChain>
</file>

<file path=xl/sharedStrings.xml><?xml version="1.0" encoding="utf-8"?>
<sst xmlns="http://schemas.openxmlformats.org/spreadsheetml/2006/main" count="264" uniqueCount="124">
  <si>
    <t>Sheets in this workbook</t>
  </si>
  <si>
    <t>MILP_Model - the model itself: 47 real counties, Solver-ready.</t>
  </si>
  <si>
    <t>County_Spotlight - pick any one county from a dropdown and see three numbers for it: its solved allocation, how much MORE it could absorb right now without touching any other county's allocation, and its absolute ceiling if it had the entire budget and quota to itself. This directly answers 'what does the model imply for county X specifically'.</t>
  </si>
  <si>
    <t>Notebook_Reference - your original notebook's printed Regime A/B numbers, kept ONLY as a fixed reference to compare Solver's result against. No formula anywhere in this workbook reads from this sheet - it is not part of the model, just a printed record for your own checking. (This is deliberately identical-looking to some columns on MILP_Model - that is intentional, not a duplication bug: one sheet is the live model, this one is a frozen answer key.)</t>
  </si>
  <si>
    <t>How to run it</t>
  </si>
  <si>
    <t>1. Enable Solver once: File &gt; Options &gt; Add-ins &gt; 'Manage: Excel Add-ins' &gt; Go &gt; tick 'Solver Add-in' &gt; OK.</t>
  </si>
  <si>
    <t>2. Open MILP_Model. Data &gt; Solver. Set Objective $R$3 to Max. By Changing Variable Cells $I$4:$J$50. Add constraints: $R$1&lt;=$C$54 (budget), $R$2&lt;=$C$55 (quota), $J$4:$J$50&lt;=$L$4:$L$50 (capacity), $J$4:$J$50&gt;=$M$4:$M$50 (floor), $I$4:$I$50=binary, $J$4:$J$50=integer. Solving method: Simplex LP. Solve, Keep Solution.</t>
  </si>
  <si>
    <t>3. Then open County_Spotlight, pick a county from the dropdown in C3, and read its result.</t>
  </si>
  <si>
    <t>FROZEN REFERENCE ONLY - your notebook's own printed Regime A/B output. Nothing on this sheet feeds any formula elsewhere in this workbook.</t>
  </si>
  <si>
    <t>county_name</t>
  </si>
  <si>
    <t>umax_units</t>
  </si>
  <si>
    <t>mean_hfvs</t>
  </si>
  <si>
    <t>rho_sbm_bc</t>
  </si>
  <si>
    <t>unit_cost_ksh</t>
  </si>
  <si>
    <t>units_A</t>
  </si>
  <si>
    <t>binding_A</t>
  </si>
  <si>
    <t>units_B</t>
  </si>
  <si>
    <t>binding_B</t>
  </si>
  <si>
    <t>Baringo</t>
  </si>
  <si>
    <t>Not activated</t>
  </si>
  <si>
    <t>National quota</t>
  </si>
  <si>
    <t>Bomet</t>
  </si>
  <si>
    <t>Capacity</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</si>
  <si>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</si>
  <si>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</si>
  <si>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</si>
  <si>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</si>
  <si>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</si>
  <si>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</si>
  <si>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</si>
  <si>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</si>
  <si>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</si>
  <si>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</si>
  <si>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</si>
  <si>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</si>
  <si>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</si>
  <si>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</si>
  <si>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</si>
  <si>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</si>
  <si>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</si>
  <si>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</si>
  <si>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</si>
  <si>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</si>
  <si>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</si>
  <si>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</si>
  <si>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</si>
  <si>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</si>
  <si>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</si>
  <si>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</si>
  <si>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</si>
  <si>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Nairobi</t>
  </si>
  <si>
    <t>Nakuru</t>
  </si>
  <si>
    <t>Nandi</t>
  </si>
  <si>
    <t>Narok</t>
  </si>
  <si>
    <t>Nyamira</t>
  </si>
  <si>
    <t>Nyandarua</t>
  </si>
  <si>
    <t>Nyeri</t>
  </si>
  <si>
    <t>Samburu</t>
  </si>
  <si>
    <t>Siaya</t>
  </si>
  <si>
    <t>Taita-Taveta</t>
  </si>
  <si>
    <t>Tana River</t>
  </si>
  <si>
    <t>Tharaka-Nithi</t>
  </si>
  <si>
    <t>Trans Nzoia</t>
  </si>
  <si>
    <t>Turkana</t>
  </si>
  <si>
    <t>Uasin Gishu</t>
  </si>
  <si>
    <t>Vihiga</t>
  </si>
  <si>
    <t>Wajir</t>
  </si>
  <si>
    <t>West Pokot</t>
  </si>
  <si>
    <t>TOTAL units_A (notebook Regime A): 6000</t>
  </si>
  <si>
    <t>TOTAL cost_A (KSh): 19,750,934,482</t>
  </si>
  <si>
    <t>Tier-3 MILP: Kenya Housing Levy Unit Allocation - Regime A (real county data)</t>
  </si>
  <si>
    <t>SOLVER RESULTS BOX</t>
  </si>
  <si>
    <t>Total cost (KSh)</t>
  </si>
  <si>
    <t>#</t>
  </si>
  <si>
    <t>County</t>
  </si>
  <si>
    <t>cap_c
(umax_units, REAL)</t>
  </si>
  <si>
    <t>mean_hfvs
(REAL)</t>
  </si>
  <si>
    <t>rho_sbm_bc
(REAL)</t>
  </si>
  <si>
    <t>gap_norm
(0-1, formula)</t>
  </si>
  <si>
    <t>eff_norm
(0-1, formula)</t>
  </si>
  <si>
    <t>x_c
SOLVER</t>
  </si>
  <si>
    <t>u_c
SOLVER</t>
  </si>
  <si>
    <t>weight * u_c
(objective term)</t>
  </si>
  <si>
    <t>cap check
u_c&lt;=cap*x_c</t>
  </si>
  <si>
    <t>floor check
u_c&gt;=100*x_c</t>
  </si>
  <si>
    <t>unit_cost_ksh
(REAL, per county)</t>
  </si>
  <si>
    <t>cost_c (KSh)</t>
  </si>
  <si>
    <t>Total units</t>
  </si>
  <si>
    <t>OBJECTIVE (maximise)</t>
  </si>
  <si>
    <t>Budget slack (KSh)</t>
  </si>
  <si>
    <t>Quota slack (units)</t>
  </si>
  <si>
    <t>TOTALS</t>
  </si>
  <si>
    <t>Counties active (sum of x_c):</t>
  </si>
  <si>
    <t>Total units allocated (sum of u_c):</t>
  </si>
  <si>
    <t>TOTAL_BUDGET_KSH</t>
  </si>
  <si>
    <t>NATIONAL_UNIT_QUOTA (delivery-constrained)</t>
  </si>
  <si>
    <t>UMIN_UNITS (activation floor)</t>
  </si>
  <si>
    <t>VULNERABILITY_WT</t>
  </si>
  <si>
    <t>EFFICIENCY_WT</t>
  </si>
  <si>
    <t>Column key: D=cap_c | E=mean_hfvs, F=rho_sbm_bc (REAL) | G,H=normalised 0-1 (formula) | I=x_c, J=u_c (SOLVER cells, yellow) | K=objective contribution | L,M=constraint checks | N=unit_cost_ksh (REAL) | O=cost_c. Solver's objective cell is $R$4; budget total is $R$2; unit total is $R$3.</t>
  </si>
  <si>
    <t>County Spotlight - what the model implies for one county</t>
  </si>
  <si>
    <t>Run Solver on MILP_Model first, then pick a county below. Every number here updates from that solved sheet - nothing here needs Solver run again.</t>
  </si>
  <si>
    <t>Select county:</t>
  </si>
  <si>
    <t>cap_c (delivery-capacity ceiling)</t>
  </si>
  <si>
    <t>The independently-sourced ceiling on how many units this county can plausibly deliver in a year.</t>
  </si>
  <si>
    <t>mean_hfvs (vulnerability)</t>
  </si>
  <si>
    <t>This county's mean household financial vulnerability score.</t>
  </si>
  <si>
    <t>rho_sbm_bc (efficiency)</t>
  </si>
  <si>
    <t>This county's bias-corrected SBM efficiency score (1.0 = frontier).</t>
  </si>
  <si>
    <t>This county's real, land-price-adjusted cost per unit.</t>
  </si>
  <si>
    <t>SOLVED allocation (u_c)</t>
  </si>
  <si>
    <t>What Solver actually gave this county, given every other county's allocation.</t>
  </si>
  <si>
    <t>Activated? (x_c)</t>
  </si>
  <si>
    <t>Whether the county was funded at all under Regime A.</t>
  </si>
  <si>
    <t>WHY (binding constraint)</t>
  </si>
  <si>
    <t>Binding constraint for this county:</t>
  </si>
  <si>
    <t>WHAT WOULD UNLOCK MORE FOR THIS COUNTY</t>
  </si>
  <si>
    <t>Room left in its OWN capacity ceiling:</t>
  </si>
  <si>
    <t>cap_c minus its current solved allocation.</t>
  </si>
  <si>
    <t>Extra units it could absorb RIGHT NOW,</t>
  </si>
  <si>
    <t>without touching any other county's allocation - the smallest of (a) its own remaining capacity headroom, (b) what today's leftover national budget can still buy at this county's unit cost, (c) what's left of the national quota.</t>
  </si>
  <si>
    <t>Absolute ceiling in isolation</t>
  </si>
  <si>
    <t>If this county got the ENTIRE national budget and quota to itself with no other county funded - shows whether it is fundamentally capacity-capped regardless of money (if this number equals cap_c, capacity is the real ceiling for this county no matter how the levy is allocated).</t>
  </si>
  <si>
    <t>HFVS -&gt; SBM-DEA -&gt; MILP: Excel Solver Replica ( County Spotlight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</si>
</sst>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3"/>
      <name val="Arial"/>
      <family val="2"/>
    </font>
    <font>
      <b/>
      <sz val="11"/>
      <name val="Arial"/>
      <family val="2"/>
    </font>
    <font>
      <sz val="10"/>
      <name val="Arial"/>
      <family val="2"/>
    </font>
    <font>
      <b/>
      <i/>
      <sz val="10"/>
      <color rgb="FFC00000"/>
      <name val="Arial"/>
      <family val="2"/>
    </font>
    <font>
      <b/>
      <sz val="10"/>
      <color rgb="FFFFFFFF"/>
      <name val="Arial"/>
      <family val="2"/>
    </font>
    <font>
      <sz val="10"/>
      <color rgb="FF000000"/>
      <name val="Arial"/>
      <family val="2"/>
    </font>
    <font>
      <sz val="10"/>
      <color rgb="FF0000FF"/>
      <name val="Arial"/>
      <family val="2"/>
    </font>
    <font>
      <b/>
      <sz val="10"/>
      <name val="Arial"/>
      <family val="2"/>
    </font>
    <font>
      <i/>
      <sz val="9"/>
      <color rgb="FF595959"/>
      <name val="Arial"/>
      <family val="2"/>
    </font>
    <font>
      <b/>
      <sz val="11"/>
      <color rgb="FF0000FF"/>
      <name val="Arial"/>
      <family val="2"/>
    </font>
  </fonts>
  <fills count="5">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FFF2C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21">
    <xf numFmtId="0" fontId="0" fillId="0" borderId="0" xfId="0"/>
    <xf numFmtId="0" fontId="9" fillId="0" borderId="0" xfId="0" applyFont="1"/>
    <xf numFmtId="0" fontId="2" fillId="0" borderId="2" xfId="0" applyFont="1" applyBorder="1"/>
    <xf numFmtId="0" fontId="1" fillId="0" borderId="0" xfId="0" applyFont="1"/>
    <xf numFmtId="0" fontId="4" fillId="0" borderId="0" xfId="0" applyFont="1"/>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2" borderId="1" xfId="0" applyFont="1" applyFill="1" applyBorder="1" applyAlignment="1">
      <alignment horizontal="center" vertical="center" wrapText="1"/>
    </xf>
    <xf numFmtId="0" fontId="6" fillId="0" borderId="1" xfId="0" applyFont="1" applyBorder="1"/>
    <xf numFmtId="0" fontId="2" fillId="0" borderId="0" xfId="0" applyFont="1"/>
    <xf numFmtId="0" fontId="2" fillId="0" borderId="2" xfId="0" applyFont="1" applyBorder="1"/>
    <xf numFmtId="0" fontId="2" fillId="3" borderId="2" xfId="0" applyFont="1" applyFill="1" applyBorder="1"/>
    <xf numFmtId="0" fontId="7" fillId="0" borderId="1" xfId="0" applyFont="1" applyBorder="1"/>
    <xf numFmtId="0" fontId="2" fillId="4" borderId="1" xfId="0" applyFont="1" applyFill="1" applyBorder="1"/>
    <xf numFmtId="0" fontId="8" fillId="0" borderId="0" xfId="0" applyFont="1"/>
    <xf numFmtId="0" fontId="7" fillId="0" borderId="0" xfId="0" applyFont="1"/>
    <xf numFmtId="0" fontId="2" fillId="0" borderId="1" xfId="0" applyFont="1" applyBorder="1"/>
    <xf numFmtId="0" fontId="10" fillId="4" borderId="1" xfId="0" applyFont="1" applyFill="1" applyBorder="1"/>
    <xf numFmtId="0" fontId="0" fillId="0" borderId="1" xfId="0" applyBorder="1"/>
    <xf numFmtId="0" fontId="9"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showGridLines="0" zoomScaleNormal="100" workbookViewId="0">
      <selection activeCell="A3" sqref="A3"/>
    </sheetView>
  </sheetViews>
  <sheetFormatPr baseColWidth="10" defaultColWidth="8.6640625" defaultRowHeight="15" x14ac:dyDescent="0.2"/>
  <cols>
    <col min="1" max="1" width="108" customWidth="1"/>
  </cols>
  <sheetData>
    <row r="1" spans="1:1" ht="18" x14ac:dyDescent="0.2">
      <c r="A1" s="5" t="s">
        <v>123</v>
      </c>
    </row>
    <row r="3" spans="1:1" x14ac:dyDescent="0.2">
      <c r="A3" s="6"/>
    </row>
    <row r="4" spans="1:1" x14ac:dyDescent="0.2">
      <c r="A4" s="7"/>
    </row>
    <row r="6" spans="1:1" x14ac:dyDescent="0.2">
      <c r="A6" s="6" t="s">
        <v>0</v>
      </c>
    </row>
    <row r="7" spans="1:1" x14ac:dyDescent="0.2">
      <c r="A7" s="7" t="s">
        <v>1</v>
      </c>
    </row>
    <row r="8" spans="1:1" ht="42" x14ac:dyDescent="0.2">
      <c r="A8" s="7" t="s">
        <v>2</v>
      </c>
    </row>
    <row r="9" spans="1:1" ht="56" x14ac:dyDescent="0.2">
      <c r="A9" s="7" t="s">
        <v>3</v>
      </c>
    </row>
    <row r="11" spans="1:1" x14ac:dyDescent="0.2">
      <c r="A11" s="6" t="s">
        <v>4</v>
      </c>
    </row>
    <row r="12" spans="1:1" x14ac:dyDescent="0.2">
      <c r="A12" s="7" t="s">
        <v>5</v>
      </c>
    </row>
    <row r="13" spans="1:1" ht="42" x14ac:dyDescent="0.2">
      <c r="A13" s="7" t="s">
        <v>6</v>
      </c>
    </row>
    <row r="14" spans="1:1" x14ac:dyDescent="0.2">
      <c r="A14" s="7" t="s">
        <v>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tabSelected="1" zoomScaleNormal="100" workbookViewId="0">
      <selection activeCell="I9" sqref="I9"/>
    </sheetView>
  </sheetViews>
  <sheetFormatPr baseColWidth="10" defaultColWidth="8.6640625" defaultRowHeight="15" x14ac:dyDescent="0.2"/>
  <cols>
    <col min="1" max="1" width="20" customWidth="1"/>
    <col min="2" max="3" width="10" customWidth="1"/>
    <col min="4" max="4" width="11" customWidth="1"/>
    <col min="5" max="5" width="14" customWidth="1"/>
    <col min="6" max="6" width="9" customWidth="1"/>
    <col min="7" max="7" width="16" customWidth="1"/>
    <col min="8" max="8" width="9" customWidth="1"/>
    <col min="9" max="9" width="16" customWidth="1"/>
  </cols>
  <sheetData>
    <row r="1" spans="1:9" ht="30" customHeight="1" x14ac:dyDescent="0.2">
      <c r="A1" s="4" t="s">
        <v>8</v>
      </c>
      <c r="B1" s="4"/>
      <c r="C1" s="4"/>
      <c r="D1" s="4"/>
      <c r="E1" s="4"/>
      <c r="F1" s="4"/>
      <c r="G1" s="4"/>
      <c r="H1" s="4"/>
      <c r="I1" s="4"/>
    </row>
    <row r="2" spans="1:9" ht="28" x14ac:dyDescent="0.2">
      <c r="A2" s="8" t="s">
        <v>9</v>
      </c>
      <c r="B2" s="8" t="s">
        <v>10</v>
      </c>
      <c r="C2" s="8" t="s">
        <v>11</v>
      </c>
      <c r="D2" s="8" t="s">
        <v>12</v>
      </c>
      <c r="E2" s="8" t="s">
        <v>13</v>
      </c>
      <c r="F2" s="8" t="s">
        <v>14</v>
      </c>
      <c r="G2" s="8" t="s">
        <v>15</v>
      </c>
      <c r="H2" s="8" t="s">
        <v>16</v>
      </c>
      <c r="I2" s="8" t="s">
        <v>17</v>
      </c>
    </row>
    <row r="3" spans="1:9" x14ac:dyDescent="0.2">
      <c r="A3" s="9" t="s">
        <v>18</v>
      </c>
      <c r="B3" s="9">
        <v>200</v>
      </c>
      <c r="C3" s="9">
        <v>-3.9343078701018198E-2</v>
      </c>
      <c r="D3" s="9">
        <v>0.49293593629966398</v>
      </c>
      <c r="E3" s="9">
        <v>3291493.8617021302</v>
      </c>
      <c r="F3" s="9">
        <v>0</v>
      </c>
      <c r="G3" s="9" t="s">
        <v>19</v>
      </c>
      <c r="H3" s="9">
        <v>100</v>
      </c>
      <c r="I3" s="9" t="s">
        <v>20</v>
      </c>
    </row>
    <row r="4" spans="1:9" x14ac:dyDescent="0.2">
      <c r="A4" s="9" t="s">
        <v>21</v>
      </c>
      <c r="B4" s="9">
        <v>200</v>
      </c>
      <c r="C4" s="9">
        <v>-7.4642300917038301E-2</v>
      </c>
      <c r="D4" s="9">
        <v>0.92631401480843101</v>
      </c>
      <c r="E4" s="9">
        <v>3291493.1117021302</v>
      </c>
      <c r="F4" s="9">
        <v>200</v>
      </c>
      <c r="G4" s="9" t="s">
        <v>22</v>
      </c>
      <c r="H4" s="9">
        <v>100</v>
      </c>
      <c r="I4" s="9" t="s">
        <v>20</v>
      </c>
    </row>
    <row r="5" spans="1:9" x14ac:dyDescent="0.2">
      <c r="A5" s="9" t="s">
        <v>23</v>
      </c>
      <c r="B5" s="9">
        <v>205</v>
      </c>
      <c r="C5" s="9">
        <v>-2.32109686169529E-2</v>
      </c>
      <c r="D5" s="9">
        <v>1</v>
      </c>
      <c r="E5" s="9">
        <v>3291492.3617021302</v>
      </c>
      <c r="F5" s="9">
        <v>205</v>
      </c>
      <c r="G5" s="9" t="s">
        <v>22</v>
      </c>
      <c r="H5" s="9">
        <v>205</v>
      </c>
      <c r="I5" s="9" t="s">
        <v>22</v>
      </c>
    </row>
    <row r="6" spans="1:9" x14ac:dyDescent="0.2">
      <c r="A6" s="9" t="s">
        <v>24</v>
      </c>
      <c r="B6" s="9">
        <v>210</v>
      </c>
      <c r="C6" s="9">
        <v>9.5607116870318004E-2</v>
      </c>
      <c r="D6" s="9">
        <v>0.79362270738384499</v>
      </c>
      <c r="E6" s="9">
        <v>3291493.1117021302</v>
      </c>
      <c r="F6" s="9">
        <v>100</v>
      </c>
      <c r="G6" s="9" t="s">
        <v>20</v>
      </c>
      <c r="H6" s="9">
        <v>100</v>
      </c>
      <c r="I6" s="9" t="s">
        <v>20</v>
      </c>
    </row>
    <row r="7" spans="1:9" x14ac:dyDescent="0.2">
      <c r="A7" s="9" t="s">
        <v>25</v>
      </c>
      <c r="B7" s="9">
        <v>200</v>
      </c>
      <c r="C7" s="9">
        <v>-4.3717566793276097E-2</v>
      </c>
      <c r="D7" s="9">
        <v>0.77807619486152901</v>
      </c>
      <c r="E7" s="9">
        <v>3291507.3617021302</v>
      </c>
      <c r="F7" s="9">
        <v>0</v>
      </c>
      <c r="G7" s="9" t="s">
        <v>19</v>
      </c>
      <c r="H7" s="9">
        <v>100</v>
      </c>
      <c r="I7" s="9" t="s">
        <v>20</v>
      </c>
    </row>
    <row r="8" spans="1:9" x14ac:dyDescent="0.2">
      <c r="A8" s="9" t="s">
        <v>26</v>
      </c>
      <c r="B8" s="9">
        <v>200</v>
      </c>
      <c r="C8" s="9">
        <v>-4.0799404531409303E-2</v>
      </c>
      <c r="D8" s="9">
        <v>1</v>
      </c>
      <c r="E8" s="9">
        <v>3291493.1117021302</v>
      </c>
      <c r="F8" s="9">
        <v>200</v>
      </c>
      <c r="G8" s="9" t="s">
        <v>22</v>
      </c>
      <c r="H8" s="9">
        <v>100</v>
      </c>
      <c r="I8" s="9" t="s">
        <v>20</v>
      </c>
    </row>
    <row r="9" spans="1:9" x14ac:dyDescent="0.2">
      <c r="A9" s="9" t="s">
        <v>27</v>
      </c>
      <c r="B9" s="9">
        <v>200</v>
      </c>
      <c r="C9" s="9">
        <v>-0.30649699296044097</v>
      </c>
      <c r="D9" s="9">
        <v>1</v>
      </c>
      <c r="E9" s="9">
        <v>3291493.1117021302</v>
      </c>
      <c r="F9" s="9">
        <v>0</v>
      </c>
      <c r="G9" s="9" t="s">
        <v>19</v>
      </c>
      <c r="H9" s="9">
        <v>100</v>
      </c>
      <c r="I9" s="9" t="s">
        <v>20</v>
      </c>
    </row>
    <row r="10" spans="1:9" x14ac:dyDescent="0.2">
      <c r="A10" s="9" t="s">
        <v>28</v>
      </c>
      <c r="B10" s="9">
        <v>200</v>
      </c>
      <c r="C10" s="9">
        <v>-4.1146784562933997E-2</v>
      </c>
      <c r="D10" s="9">
        <v>0.60688403628889398</v>
      </c>
      <c r="E10" s="9">
        <v>3291489.3617021302</v>
      </c>
      <c r="F10" s="9">
        <v>0</v>
      </c>
      <c r="G10" s="9" t="s">
        <v>19</v>
      </c>
      <c r="H10" s="9">
        <v>100</v>
      </c>
      <c r="I10" s="9" t="s">
        <v>20</v>
      </c>
    </row>
    <row r="11" spans="1:9" x14ac:dyDescent="0.2">
      <c r="A11" s="9" t="s">
        <v>29</v>
      </c>
      <c r="B11" s="9">
        <v>200</v>
      </c>
      <c r="C11" s="9">
        <v>-0.2330178840404</v>
      </c>
      <c r="D11" s="9">
        <v>0.76242072819719198</v>
      </c>
      <c r="E11" s="9">
        <v>3291494.0117021301</v>
      </c>
      <c r="F11" s="9">
        <v>0</v>
      </c>
      <c r="G11" s="9" t="s">
        <v>19</v>
      </c>
      <c r="H11" s="9">
        <v>100</v>
      </c>
      <c r="I11" s="9" t="s">
        <v>20</v>
      </c>
    </row>
    <row r="12" spans="1:9" x14ac:dyDescent="0.2">
      <c r="A12" s="9" t="s">
        <v>30</v>
      </c>
      <c r="B12" s="9">
        <v>340</v>
      </c>
      <c r="C12" s="9">
        <v>-0.23318457786055</v>
      </c>
      <c r="D12" s="9">
        <v>0.21187978897276799</v>
      </c>
      <c r="E12" s="9">
        <v>3291492.3617021302</v>
      </c>
      <c r="F12" s="9">
        <v>0</v>
      </c>
      <c r="G12" s="9" t="s">
        <v>19</v>
      </c>
      <c r="H12" s="9">
        <v>100</v>
      </c>
      <c r="I12" s="9" t="s">
        <v>20</v>
      </c>
    </row>
    <row r="13" spans="1:9" x14ac:dyDescent="0.2">
      <c r="A13" s="9" t="s">
        <v>31</v>
      </c>
      <c r="B13" s="9">
        <v>232</v>
      </c>
      <c r="C13" s="9">
        <v>0.12641085968844301</v>
      </c>
      <c r="D13" s="9">
        <v>0.83320307081907896</v>
      </c>
      <c r="E13" s="9">
        <v>3297151.8617021302</v>
      </c>
      <c r="F13" s="9">
        <v>232</v>
      </c>
      <c r="G13" s="9" t="s">
        <v>22</v>
      </c>
      <c r="H13" s="9">
        <v>232</v>
      </c>
      <c r="I13" s="9" t="s">
        <v>22</v>
      </c>
    </row>
    <row r="14" spans="1:9" x14ac:dyDescent="0.2">
      <c r="A14" s="9" t="s">
        <v>32</v>
      </c>
      <c r="B14" s="9">
        <v>200</v>
      </c>
      <c r="C14" s="9">
        <v>-0.100535182095586</v>
      </c>
      <c r="D14" s="9">
        <v>0.87560558849540204</v>
      </c>
      <c r="E14" s="9">
        <v>3291493.1117021302</v>
      </c>
      <c r="F14" s="9">
        <v>0</v>
      </c>
      <c r="G14" s="9" t="s">
        <v>19</v>
      </c>
      <c r="H14" s="9">
        <v>100</v>
      </c>
      <c r="I14" s="9" t="s">
        <v>20</v>
      </c>
    </row>
    <row r="15" spans="1:9" x14ac:dyDescent="0.2">
      <c r="A15" s="9" t="s">
        <v>33</v>
      </c>
      <c r="B15" s="9">
        <v>200</v>
      </c>
      <c r="C15" s="9">
        <v>-8.8095793932762304E-2</v>
      </c>
      <c r="D15" s="9">
        <v>1</v>
      </c>
      <c r="E15" s="9">
        <v>3291489.3617021302</v>
      </c>
      <c r="F15" s="9">
        <v>200</v>
      </c>
      <c r="G15" s="9" t="s">
        <v>22</v>
      </c>
      <c r="H15" s="9">
        <v>200</v>
      </c>
      <c r="I15" s="9" t="s">
        <v>22</v>
      </c>
    </row>
    <row r="16" spans="1:9" x14ac:dyDescent="0.2">
      <c r="A16" s="9" t="s">
        <v>34</v>
      </c>
      <c r="B16" s="9">
        <v>200</v>
      </c>
      <c r="C16" s="9">
        <v>-9.4739095355590497E-2</v>
      </c>
      <c r="D16" s="9">
        <v>0.81817197661723096</v>
      </c>
      <c r="E16" s="9">
        <v>3291493.1117021302</v>
      </c>
      <c r="F16" s="9">
        <v>200</v>
      </c>
      <c r="G16" s="9" t="s">
        <v>22</v>
      </c>
      <c r="H16" s="9">
        <v>100</v>
      </c>
      <c r="I16" s="9" t="s">
        <v>20</v>
      </c>
    </row>
    <row r="17" spans="1:9" x14ac:dyDescent="0.2">
      <c r="A17" s="9" t="s">
        <v>35</v>
      </c>
      <c r="B17" s="9">
        <v>200</v>
      </c>
      <c r="C17" s="9">
        <v>-3.3448612235063999E-2</v>
      </c>
      <c r="D17" s="9">
        <v>1</v>
      </c>
      <c r="E17" s="9">
        <v>3291489.3617021302</v>
      </c>
      <c r="F17" s="9">
        <v>200</v>
      </c>
      <c r="G17" s="9" t="s">
        <v>22</v>
      </c>
      <c r="H17" s="9">
        <v>100</v>
      </c>
      <c r="I17" s="9" t="s">
        <v>20</v>
      </c>
    </row>
    <row r="18" spans="1:9" x14ac:dyDescent="0.2">
      <c r="A18" s="9" t="s">
        <v>36</v>
      </c>
      <c r="B18" s="9">
        <v>200</v>
      </c>
      <c r="C18" s="9">
        <v>-0.10144112962006301</v>
      </c>
      <c r="D18" s="9">
        <v>0.47257501811549302</v>
      </c>
      <c r="E18" s="9">
        <v>3291493.1117021302</v>
      </c>
      <c r="F18" s="9">
        <v>0</v>
      </c>
      <c r="G18" s="9" t="s">
        <v>19</v>
      </c>
      <c r="H18" s="9">
        <v>100</v>
      </c>
      <c r="I18" s="9" t="s">
        <v>20</v>
      </c>
    </row>
    <row r="19" spans="1:9" x14ac:dyDescent="0.2">
      <c r="A19" s="9" t="s">
        <v>37</v>
      </c>
      <c r="B19" s="9">
        <v>232</v>
      </c>
      <c r="C19" s="9">
        <v>-8.3875794288848005E-2</v>
      </c>
      <c r="D19" s="9">
        <v>1</v>
      </c>
      <c r="E19" s="9">
        <v>3291493.1117021302</v>
      </c>
      <c r="F19" s="9">
        <v>232</v>
      </c>
      <c r="G19" s="9" t="s">
        <v>22</v>
      </c>
      <c r="H19" s="9">
        <v>100</v>
      </c>
      <c r="I19" s="9" t="s">
        <v>20</v>
      </c>
    </row>
    <row r="20" spans="1:9" x14ac:dyDescent="0.2">
      <c r="A20" s="9" t="s">
        <v>38</v>
      </c>
      <c r="B20" s="9">
        <v>200</v>
      </c>
      <c r="C20" s="9">
        <v>5.53758531687608E-2</v>
      </c>
      <c r="D20" s="9">
        <v>0.50817375803198706</v>
      </c>
      <c r="E20" s="9">
        <v>3291489.3617021302</v>
      </c>
      <c r="F20" s="9">
        <v>0</v>
      </c>
      <c r="G20" s="9" t="s">
        <v>19</v>
      </c>
      <c r="H20" s="9">
        <v>100</v>
      </c>
      <c r="I20" s="9" t="s">
        <v>20</v>
      </c>
    </row>
    <row r="21" spans="1:9" x14ac:dyDescent="0.2">
      <c r="A21" s="9" t="s">
        <v>39</v>
      </c>
      <c r="B21" s="9">
        <v>200</v>
      </c>
      <c r="C21" s="9">
        <v>-2.52009437606024E-2</v>
      </c>
      <c r="D21" s="9">
        <v>0.88945950906274396</v>
      </c>
      <c r="E21" s="9">
        <v>3291493.1117021302</v>
      </c>
      <c r="F21" s="9">
        <v>200</v>
      </c>
      <c r="G21" s="9" t="s">
        <v>22</v>
      </c>
      <c r="H21" s="9">
        <v>100</v>
      </c>
      <c r="I21" s="9" t="s">
        <v>20</v>
      </c>
    </row>
    <row r="22" spans="1:9" x14ac:dyDescent="0.2">
      <c r="A22" s="9" t="s">
        <v>40</v>
      </c>
      <c r="B22" s="9">
        <v>261</v>
      </c>
      <c r="C22" s="9">
        <v>0.115532430850506</v>
      </c>
      <c r="D22" s="9">
        <v>0.96267508890839104</v>
      </c>
      <c r="E22" s="9">
        <v>3291493.1117021302</v>
      </c>
      <c r="F22" s="9">
        <v>261</v>
      </c>
      <c r="G22" s="9" t="s">
        <v>22</v>
      </c>
      <c r="H22" s="9">
        <v>100</v>
      </c>
      <c r="I22" s="9" t="s">
        <v>20</v>
      </c>
    </row>
    <row r="23" spans="1:9" x14ac:dyDescent="0.2">
      <c r="A23" s="9" t="s">
        <v>41</v>
      </c>
      <c r="B23" s="9">
        <v>200</v>
      </c>
      <c r="C23" s="9">
        <v>-6.6249137921517806E-2</v>
      </c>
      <c r="D23" s="9">
        <v>1</v>
      </c>
      <c r="E23" s="9">
        <v>3291490.1117021302</v>
      </c>
      <c r="F23" s="9">
        <v>0</v>
      </c>
      <c r="G23" s="9" t="s">
        <v>19</v>
      </c>
      <c r="H23" s="9">
        <v>100</v>
      </c>
      <c r="I23" s="9" t="s">
        <v>20</v>
      </c>
    </row>
    <row r="24" spans="1:9" x14ac:dyDescent="0.2">
      <c r="A24" s="9" t="s">
        <v>42</v>
      </c>
      <c r="B24" s="9">
        <v>380</v>
      </c>
      <c r="C24" s="9">
        <v>-0.144360681158272</v>
      </c>
      <c r="D24" s="9">
        <v>0.72025843136386203</v>
      </c>
      <c r="E24" s="9">
        <v>3291822.9617021298</v>
      </c>
      <c r="F24" s="9">
        <v>0</v>
      </c>
      <c r="G24" s="9" t="s">
        <v>19</v>
      </c>
      <c r="H24" s="9">
        <v>100</v>
      </c>
      <c r="I24" s="9" t="s">
        <v>20</v>
      </c>
    </row>
    <row r="25" spans="1:9" x14ac:dyDescent="0.2">
      <c r="A25" s="9" t="s">
        <v>43</v>
      </c>
      <c r="B25" s="9">
        <v>200</v>
      </c>
      <c r="C25" s="9">
        <v>0.11169202898476099</v>
      </c>
      <c r="D25" s="9">
        <v>0.62291099678804496</v>
      </c>
      <c r="E25" s="9">
        <v>3291740.4617021298</v>
      </c>
      <c r="F25" s="9">
        <v>0</v>
      </c>
      <c r="G25" s="9" t="s">
        <v>19</v>
      </c>
      <c r="H25" s="9">
        <v>100</v>
      </c>
      <c r="I25" s="9" t="s">
        <v>20</v>
      </c>
    </row>
    <row r="26" spans="1:9" x14ac:dyDescent="0.2">
      <c r="A26" s="9" t="s">
        <v>44</v>
      </c>
      <c r="B26" s="9">
        <v>200</v>
      </c>
      <c r="C26" s="9">
        <v>-0.22943130354115801</v>
      </c>
      <c r="D26" s="9">
        <v>1</v>
      </c>
      <c r="E26" s="9">
        <v>3291494.6117021302</v>
      </c>
      <c r="F26" s="9">
        <v>200</v>
      </c>
      <c r="G26" s="9" t="s">
        <v>22</v>
      </c>
      <c r="H26" s="9">
        <v>100</v>
      </c>
      <c r="I26" s="9" t="s">
        <v>20</v>
      </c>
    </row>
    <row r="27" spans="1:9" x14ac:dyDescent="0.2">
      <c r="A27" s="9" t="s">
        <v>45</v>
      </c>
      <c r="B27" s="9">
        <v>200</v>
      </c>
      <c r="C27" s="9">
        <v>-0.29552921677560401</v>
      </c>
      <c r="D27" s="9">
        <v>0.342067791328514</v>
      </c>
      <c r="E27" s="9">
        <v>3291489.3617021302</v>
      </c>
      <c r="F27" s="9">
        <v>0</v>
      </c>
      <c r="G27" s="9" t="s">
        <v>19</v>
      </c>
      <c r="H27" s="9">
        <v>100</v>
      </c>
      <c r="I27" s="9" t="s">
        <v>20</v>
      </c>
    </row>
    <row r="28" spans="1:9" x14ac:dyDescent="0.2">
      <c r="A28" s="9" t="s">
        <v>46</v>
      </c>
      <c r="B28" s="9">
        <v>200</v>
      </c>
      <c r="C28" s="9">
        <v>-0.12865591656817399</v>
      </c>
      <c r="D28" s="9">
        <v>0.986564345457416</v>
      </c>
      <c r="E28" s="9">
        <v>3291493.1117021302</v>
      </c>
      <c r="F28" s="9">
        <v>200</v>
      </c>
      <c r="G28" s="9" t="s">
        <v>22</v>
      </c>
      <c r="H28" s="9">
        <v>100</v>
      </c>
      <c r="I28" s="9" t="s">
        <v>20</v>
      </c>
    </row>
    <row r="29" spans="1:9" x14ac:dyDescent="0.2">
      <c r="A29" s="9" t="s">
        <v>47</v>
      </c>
      <c r="B29" s="9">
        <v>202</v>
      </c>
      <c r="C29" s="9">
        <v>7.5174139186845401E-2</v>
      </c>
      <c r="D29" s="9">
        <v>1</v>
      </c>
      <c r="E29" s="9">
        <v>3291909.2117021298</v>
      </c>
      <c r="F29" s="9">
        <v>202</v>
      </c>
      <c r="G29" s="9" t="s">
        <v>22</v>
      </c>
      <c r="H29" s="9">
        <v>100</v>
      </c>
      <c r="I29" s="9" t="s">
        <v>20</v>
      </c>
    </row>
    <row r="30" spans="1:9" x14ac:dyDescent="0.2">
      <c r="A30" s="9" t="s">
        <v>48</v>
      </c>
      <c r="B30" s="9">
        <v>553</v>
      </c>
      <c r="C30" s="9">
        <v>9.3993811986316705E-2</v>
      </c>
      <c r="D30" s="9">
        <v>1</v>
      </c>
      <c r="E30" s="9">
        <v>3291507.3617021302</v>
      </c>
      <c r="F30" s="9">
        <v>553</v>
      </c>
      <c r="G30" s="9" t="s">
        <v>22</v>
      </c>
      <c r="H30" s="9">
        <v>508</v>
      </c>
      <c r="I30" s="9" t="s">
        <v>20</v>
      </c>
    </row>
    <row r="31" spans="1:9" x14ac:dyDescent="0.2">
      <c r="A31" s="9" t="s">
        <v>49</v>
      </c>
      <c r="B31" s="9">
        <v>328</v>
      </c>
      <c r="C31" s="9">
        <v>-7.3454397390723097E-2</v>
      </c>
      <c r="D31" s="9">
        <v>9.9999999999999995E-7</v>
      </c>
      <c r="E31" s="9">
        <v>3291493.1117021302</v>
      </c>
      <c r="F31" s="9">
        <v>0</v>
      </c>
      <c r="G31" s="9" t="s">
        <v>19</v>
      </c>
      <c r="H31" s="9">
        <v>100</v>
      </c>
      <c r="I31" s="9" t="s">
        <v>20</v>
      </c>
    </row>
    <row r="32" spans="1:9" x14ac:dyDescent="0.2">
      <c r="A32" s="9" t="s">
        <v>50</v>
      </c>
      <c r="B32" s="9">
        <v>490</v>
      </c>
      <c r="C32" s="9">
        <v>0.17697949753809</v>
      </c>
      <c r="D32" s="9">
        <v>1</v>
      </c>
      <c r="E32" s="9">
        <v>3291864.3617021302</v>
      </c>
      <c r="F32" s="9">
        <v>490</v>
      </c>
      <c r="G32" s="9" t="s">
        <v>22</v>
      </c>
      <c r="H32" s="9">
        <v>490</v>
      </c>
      <c r="I32" s="9" t="s">
        <v>22</v>
      </c>
    </row>
    <row r="33" spans="1:9" x14ac:dyDescent="0.2">
      <c r="A33" s="9" t="s">
        <v>51</v>
      </c>
      <c r="B33" s="9">
        <v>265</v>
      </c>
      <c r="C33" s="9">
        <v>3.6864299713576597E-2</v>
      </c>
      <c r="D33" s="9">
        <v>0.99551935872728903</v>
      </c>
      <c r="E33" s="9">
        <v>3291489.3617021302</v>
      </c>
      <c r="F33" s="9">
        <v>265</v>
      </c>
      <c r="G33" s="9" t="s">
        <v>22</v>
      </c>
      <c r="H33" s="9">
        <v>265</v>
      </c>
      <c r="I33" s="9" t="s">
        <v>22</v>
      </c>
    </row>
    <row r="34" spans="1:9" x14ac:dyDescent="0.2">
      <c r="A34" s="9" t="s">
        <v>52</v>
      </c>
      <c r="B34" s="9">
        <v>200</v>
      </c>
      <c r="C34" s="9">
        <v>7.7769388609553805E-2</v>
      </c>
      <c r="D34" s="9">
        <v>1</v>
      </c>
      <c r="E34" s="9">
        <v>3291489.3617021302</v>
      </c>
      <c r="F34" s="9">
        <v>200</v>
      </c>
      <c r="G34" s="9" t="s">
        <v>22</v>
      </c>
      <c r="H34" s="9">
        <v>100</v>
      </c>
      <c r="I34" s="9" t="s">
        <v>20</v>
      </c>
    </row>
    <row r="35" spans="1:9" x14ac:dyDescent="0.2">
      <c r="A35" s="9" t="s">
        <v>53</v>
      </c>
      <c r="B35" s="9">
        <v>200</v>
      </c>
      <c r="C35" s="9">
        <v>-2.1165006739280998E-3</v>
      </c>
      <c r="D35" s="9">
        <v>0.87036344216427497</v>
      </c>
      <c r="E35" s="9">
        <v>3291493.1117021302</v>
      </c>
      <c r="F35" s="9">
        <v>200</v>
      </c>
      <c r="G35" s="9" t="s">
        <v>22</v>
      </c>
      <c r="H35" s="9">
        <v>100</v>
      </c>
      <c r="I35" s="9" t="s">
        <v>20</v>
      </c>
    </row>
    <row r="36" spans="1:9" x14ac:dyDescent="0.2">
      <c r="A36" s="9" t="s">
        <v>54</v>
      </c>
      <c r="B36" s="9">
        <v>200</v>
      </c>
      <c r="C36" s="9">
        <v>-2.6825598454177799E-2</v>
      </c>
      <c r="D36" s="9">
        <v>0.34650287995774198</v>
      </c>
      <c r="E36" s="9">
        <v>3291493.1117021302</v>
      </c>
      <c r="F36" s="9">
        <v>0</v>
      </c>
      <c r="G36" s="9" t="s">
        <v>19</v>
      </c>
      <c r="H36" s="9">
        <v>100</v>
      </c>
      <c r="I36" s="9" t="s">
        <v>20</v>
      </c>
    </row>
    <row r="37" spans="1:9" x14ac:dyDescent="0.2">
      <c r="A37" s="9" t="s">
        <v>55</v>
      </c>
      <c r="B37" s="9">
        <v>227</v>
      </c>
      <c r="C37" s="9">
        <v>0.123614690608783</v>
      </c>
      <c r="D37" s="9">
        <v>1</v>
      </c>
      <c r="E37" s="9">
        <v>3293129.7617021301</v>
      </c>
      <c r="F37" s="9">
        <v>227</v>
      </c>
      <c r="G37" s="9" t="s">
        <v>22</v>
      </c>
      <c r="H37" s="9">
        <v>100</v>
      </c>
      <c r="I37" s="9" t="s">
        <v>20</v>
      </c>
    </row>
    <row r="38" spans="1:9" x14ac:dyDescent="0.2">
      <c r="A38" s="9" t="s">
        <v>56</v>
      </c>
      <c r="B38" s="9">
        <v>229</v>
      </c>
      <c r="C38" s="9">
        <v>3.26245899980908E-2</v>
      </c>
      <c r="D38" s="9">
        <v>1</v>
      </c>
      <c r="E38" s="9">
        <v>3291493.1117021302</v>
      </c>
      <c r="F38" s="9">
        <v>229</v>
      </c>
      <c r="G38" s="9" t="s">
        <v>22</v>
      </c>
      <c r="H38" s="9">
        <v>100</v>
      </c>
      <c r="I38" s="9" t="s">
        <v>20</v>
      </c>
    </row>
    <row r="39" spans="1:9" x14ac:dyDescent="0.2">
      <c r="A39" s="9" t="s">
        <v>57</v>
      </c>
      <c r="B39" s="9">
        <v>200</v>
      </c>
      <c r="C39" s="9">
        <v>0.117064664480382</v>
      </c>
      <c r="D39" s="9">
        <v>0.49700408075121</v>
      </c>
      <c r="E39" s="9">
        <v>3291493.1117021302</v>
      </c>
      <c r="F39" s="9">
        <v>0</v>
      </c>
      <c r="G39" s="9" t="s">
        <v>19</v>
      </c>
      <c r="H39" s="9">
        <v>100</v>
      </c>
      <c r="I39" s="9" t="s">
        <v>20</v>
      </c>
    </row>
    <row r="40" spans="1:9" x14ac:dyDescent="0.2">
      <c r="A40" s="9" t="s">
        <v>58</v>
      </c>
      <c r="B40" s="9">
        <v>200</v>
      </c>
      <c r="C40" s="9">
        <v>0.15895926392298801</v>
      </c>
      <c r="D40" s="9">
        <v>1</v>
      </c>
      <c r="E40" s="9">
        <v>3291490.41170213</v>
      </c>
      <c r="F40" s="9">
        <v>200</v>
      </c>
      <c r="G40" s="9" t="s">
        <v>22</v>
      </c>
      <c r="H40" s="9">
        <v>100</v>
      </c>
      <c r="I40" s="9" t="s">
        <v>20</v>
      </c>
    </row>
    <row r="41" spans="1:9" x14ac:dyDescent="0.2">
      <c r="A41" s="9" t="s">
        <v>59</v>
      </c>
      <c r="B41" s="9">
        <v>200</v>
      </c>
      <c r="C41" s="9">
        <v>0.27685440412368401</v>
      </c>
      <c r="D41" s="9">
        <v>0.76301111390991905</v>
      </c>
      <c r="E41" s="9">
        <v>3291493.1117021302</v>
      </c>
      <c r="F41" s="9">
        <v>0</v>
      </c>
      <c r="G41" s="9" t="s">
        <v>19</v>
      </c>
      <c r="H41" s="9">
        <v>100</v>
      </c>
      <c r="I41" s="9" t="s">
        <v>20</v>
      </c>
    </row>
    <row r="42" spans="1:9" x14ac:dyDescent="0.2">
      <c r="A42" s="9" t="s">
        <v>60</v>
      </c>
      <c r="B42" s="9">
        <v>200</v>
      </c>
      <c r="C42" s="9">
        <v>-2.7469327706829201E-2</v>
      </c>
      <c r="D42" s="9">
        <v>0.76595326747154702</v>
      </c>
      <c r="E42" s="9">
        <v>3291493.1117021302</v>
      </c>
      <c r="F42" s="9">
        <v>0</v>
      </c>
      <c r="G42" s="9" t="s">
        <v>19</v>
      </c>
      <c r="H42" s="9">
        <v>100</v>
      </c>
      <c r="I42" s="9" t="s">
        <v>20</v>
      </c>
    </row>
    <row r="43" spans="1:9" x14ac:dyDescent="0.2">
      <c r="A43" s="9" t="s">
        <v>61</v>
      </c>
      <c r="B43" s="9">
        <v>200</v>
      </c>
      <c r="C43" s="9">
        <v>-0.100612195465131</v>
      </c>
      <c r="D43" s="9">
        <v>1</v>
      </c>
      <c r="E43" s="9">
        <v>3291489.3617021302</v>
      </c>
      <c r="F43" s="9">
        <v>200</v>
      </c>
      <c r="G43" s="9" t="s">
        <v>22</v>
      </c>
      <c r="H43" s="9">
        <v>100</v>
      </c>
      <c r="I43" s="9" t="s">
        <v>20</v>
      </c>
    </row>
    <row r="44" spans="1:9" x14ac:dyDescent="0.2">
      <c r="A44" s="9" t="s">
        <v>62</v>
      </c>
      <c r="B44" s="9">
        <v>200</v>
      </c>
      <c r="C44" s="9">
        <v>5.5596302147819299E-2</v>
      </c>
      <c r="D44" s="9">
        <v>0.96094069094189105</v>
      </c>
      <c r="E44" s="9">
        <v>3291610.7117021298</v>
      </c>
      <c r="F44" s="9">
        <v>200</v>
      </c>
      <c r="G44" s="9" t="s">
        <v>22</v>
      </c>
      <c r="H44" s="9">
        <v>100</v>
      </c>
      <c r="I44" s="9" t="s">
        <v>20</v>
      </c>
    </row>
    <row r="45" spans="1:9" x14ac:dyDescent="0.2">
      <c r="A45" s="9" t="s">
        <v>63</v>
      </c>
      <c r="B45" s="9">
        <v>200</v>
      </c>
      <c r="C45" s="9">
        <v>-0.112187534643948</v>
      </c>
      <c r="D45" s="9">
        <v>0.79707937691363195</v>
      </c>
      <c r="E45" s="9">
        <v>3291493.1117021302</v>
      </c>
      <c r="F45" s="9">
        <v>0</v>
      </c>
      <c r="G45" s="9" t="s">
        <v>19</v>
      </c>
      <c r="H45" s="9">
        <v>100</v>
      </c>
      <c r="I45" s="9" t="s">
        <v>20</v>
      </c>
    </row>
    <row r="46" spans="1:9" x14ac:dyDescent="0.2">
      <c r="A46" s="9" t="s">
        <v>64</v>
      </c>
      <c r="B46" s="9">
        <v>209</v>
      </c>
      <c r="C46" s="9">
        <v>7.6423497559423403E-2</v>
      </c>
      <c r="D46" s="9">
        <v>1</v>
      </c>
      <c r="E46" s="9">
        <v>3291489.3617021302</v>
      </c>
      <c r="F46" s="9">
        <v>209</v>
      </c>
      <c r="G46" s="9" t="s">
        <v>22</v>
      </c>
      <c r="H46" s="9">
        <v>100</v>
      </c>
      <c r="I46" s="9" t="s">
        <v>20</v>
      </c>
    </row>
    <row r="47" spans="1:9" x14ac:dyDescent="0.2">
      <c r="A47" s="9" t="s">
        <v>65</v>
      </c>
      <c r="B47" s="9">
        <v>200</v>
      </c>
      <c r="C47" s="9">
        <v>0.10864880196715899</v>
      </c>
      <c r="D47" s="9">
        <v>0.88141022342611097</v>
      </c>
      <c r="E47" s="9">
        <v>3291489.3617021302</v>
      </c>
      <c r="F47" s="9">
        <v>195</v>
      </c>
      <c r="G47" s="9" t="s">
        <v>20</v>
      </c>
      <c r="H47" s="9">
        <v>100</v>
      </c>
      <c r="I47" s="9" t="s">
        <v>20</v>
      </c>
    </row>
    <row r="48" spans="1:9" x14ac:dyDescent="0.2">
      <c r="A48" s="9" t="s">
        <v>66</v>
      </c>
      <c r="B48" s="9">
        <v>200</v>
      </c>
      <c r="C48" s="9">
        <v>-0.41117090563721898</v>
      </c>
      <c r="D48" s="9">
        <v>1</v>
      </c>
      <c r="E48" s="9">
        <v>3294156.3617021302</v>
      </c>
      <c r="F48" s="9">
        <v>0</v>
      </c>
      <c r="G48" s="9" t="s">
        <v>19</v>
      </c>
      <c r="H48" s="9">
        <v>100</v>
      </c>
      <c r="I48" s="9" t="s">
        <v>20</v>
      </c>
    </row>
    <row r="49" spans="1:9" x14ac:dyDescent="0.2">
      <c r="A49" s="9" t="s">
        <v>67</v>
      </c>
      <c r="B49" s="9">
        <v>200</v>
      </c>
      <c r="C49" s="9">
        <v>-0.123470401575515</v>
      </c>
      <c r="D49" s="9">
        <v>9.9999999999999995E-7</v>
      </c>
      <c r="E49" s="9">
        <v>3291489.3617021302</v>
      </c>
      <c r="F49" s="9">
        <v>0</v>
      </c>
      <c r="G49" s="9" t="s">
        <v>19</v>
      </c>
      <c r="H49" s="9">
        <v>100</v>
      </c>
      <c r="I49" s="9" t="s">
        <v>20</v>
      </c>
    </row>
    <row r="51" spans="1:9" x14ac:dyDescent="0.2">
      <c r="A51" s="10" t="s">
        <v>68</v>
      </c>
    </row>
    <row r="52" spans="1:9" x14ac:dyDescent="0.2">
      <c r="A52" s="10" t="s">
        <v>69</v>
      </c>
    </row>
  </sheetData>
  <mergeCells count="1">
    <mergeCell ref="A1:I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61"/>
  <sheetViews>
    <sheetView showGridLines="0" zoomScaleNormal="100" workbookViewId="0">
      <pane xSplit="2" ySplit="3" topLeftCell="K4" activePane="bottomRight" state="frozen"/>
      <selection pane="topRight" activeCell="C1" sqref="C1"/>
      <selection pane="bottomLeft" activeCell="A4" sqref="A4"/>
      <selection pane="bottomRight"/>
    </sheetView>
  </sheetViews>
  <sheetFormatPr baseColWidth="10" defaultColWidth="8.6640625" defaultRowHeight="15" x14ac:dyDescent="0.2"/>
  <cols>
    <col min="1" max="1" width="4" customWidth="1"/>
    <col min="2" max="2" width="20" customWidth="1"/>
    <col min="3" max="3" width="12" customWidth="1"/>
    <col min="4" max="7" width="11" customWidth="1"/>
    <col min="8" max="9" width="8" customWidth="1"/>
    <col min="10" max="10" width="20" customWidth="1"/>
    <col min="11" max="12" width="12" customWidth="1"/>
    <col min="13" max="14" width="14" customWidth="1"/>
    <col min="16" max="16" width="3" customWidth="1"/>
    <col min="17" max="17" width="26" customWidth="1"/>
    <col min="18" max="18" width="16" customWidth="1"/>
  </cols>
  <sheetData>
    <row r="1" spans="2:18" ht="17" x14ac:dyDescent="0.2">
      <c r="B1" s="3" t="s">
        <v>70</v>
      </c>
      <c r="C1" s="3"/>
      <c r="D1" s="3"/>
      <c r="E1" s="3"/>
      <c r="F1" s="3"/>
      <c r="G1" s="3"/>
      <c r="H1" s="3"/>
      <c r="I1" s="3"/>
      <c r="J1" s="3"/>
      <c r="K1" s="3"/>
      <c r="L1" s="3"/>
      <c r="M1" s="3"/>
      <c r="N1" s="3"/>
      <c r="Q1" s="2" t="s">
        <v>71</v>
      </c>
      <c r="R1" s="2"/>
    </row>
    <row r="2" spans="2:18" x14ac:dyDescent="0.2">
      <c r="Q2" s="11" t="s">
        <v>72</v>
      </c>
      <c r="R2" s="12">
        <f>SUM(N4:N50)</f>
        <v>154711600.17000005</v>
      </c>
    </row>
    <row r="3" spans="2:18" ht="42" customHeight="1" x14ac:dyDescent="0.2">
      <c r="B3" s="8" t="s">
        <v>73</v>
      </c>
      <c r="C3" s="8" t="s">
        <v>74</v>
      </c>
      <c r="D3" s="8" t="s">
        <v>75</v>
      </c>
      <c r="E3" s="8" t="s">
        <v>76</v>
      </c>
      <c r="F3" s="8" t="s">
        <v>77</v>
      </c>
      <c r="G3" s="8" t="s">
        <v>78</v>
      </c>
      <c r="H3" s="8" t="s">
        <v>79</v>
      </c>
      <c r="I3" s="8" t="s">
        <v>80</v>
      </c>
      <c r="J3" s="8" t="s">
        <v>81</v>
      </c>
      <c r="K3" s="8" t="s">
        <v>82</v>
      </c>
      <c r="L3" s="8" t="s">
        <v>83</v>
      </c>
      <c r="M3" s="8" t="s">
        <v>84</v>
      </c>
      <c r="N3" s="8" t="s">
        <v>85</v>
      </c>
      <c r="O3" s="8" t="s">
        <v>86</v>
      </c>
      <c r="Q3" s="11" t="s">
        <v>87</v>
      </c>
      <c r="R3" s="12">
        <f>SUM(J4:J50)</f>
        <v>6000</v>
      </c>
    </row>
    <row r="4" spans="2:18" x14ac:dyDescent="0.2">
      <c r="B4" s="9">
        <v>1</v>
      </c>
      <c r="C4" s="9" t="s">
        <v>18</v>
      </c>
      <c r="D4" s="13">
        <v>200</v>
      </c>
      <c r="E4" s="13">
        <v>-3.9343000000000003E-2</v>
      </c>
      <c r="F4" s="13">
        <v>0.49293599999999999</v>
      </c>
      <c r="G4" s="9">
        <f t="shared" ref="G4:G50" si="0">(E4-MIN($E$4:$E$50))/(MAX($E$4:$E$50)-MIN($E$4:$E$50))</f>
        <v>0.54042803677191964</v>
      </c>
      <c r="H4" s="9">
        <f t="shared" ref="H4:H50" si="1">(F4-MIN($F$4:$F$50))/(MAX($F$4:$F$50)-MIN($F$4:$F$50))</f>
        <v>0.49293549293549294</v>
      </c>
      <c r="I4" s="14">
        <v>0</v>
      </c>
      <c r="J4" s="14">
        <v>0</v>
      </c>
      <c r="K4" s="9">
        <f t="shared" ref="K4:K50" si="2">($C$57*G4+$C$58*H4)*J4</f>
        <v>0</v>
      </c>
      <c r="L4" s="9">
        <f t="shared" ref="L4:L50" si="3">D4*I4</f>
        <v>0</v>
      </c>
      <c r="M4" s="9">
        <f t="shared" ref="M4:M50" si="4">$C$56*I4</f>
        <v>0</v>
      </c>
      <c r="N4" s="13">
        <v>3291493.86</v>
      </c>
      <c r="O4" s="9">
        <f t="shared" ref="O4:O50" si="5">N4*J4</f>
        <v>0</v>
      </c>
      <c r="Q4" s="11" t="s">
        <v>88</v>
      </c>
      <c r="R4" s="12">
        <f>SUM(K4:K50)</f>
        <v>4736.5293250817149</v>
      </c>
    </row>
    <row r="5" spans="2:18" x14ac:dyDescent="0.2">
      <c r="B5" s="9">
        <v>2</v>
      </c>
      <c r="C5" s="9" t="s">
        <v>21</v>
      </c>
      <c r="D5" s="13">
        <v>200</v>
      </c>
      <c r="E5" s="13">
        <v>-7.4642E-2</v>
      </c>
      <c r="F5" s="13">
        <v>0.92631399999999997</v>
      </c>
      <c r="G5" s="9">
        <f t="shared" si="0"/>
        <v>0.48912321499945499</v>
      </c>
      <c r="H5" s="9">
        <f t="shared" si="1"/>
        <v>0.92631392631392628</v>
      </c>
      <c r="I5" s="14">
        <v>1</v>
      </c>
      <c r="J5" s="14">
        <v>100</v>
      </c>
      <c r="K5" s="9">
        <f t="shared" si="2"/>
        <v>66.399949952524366</v>
      </c>
      <c r="L5" s="9">
        <f t="shared" si="3"/>
        <v>200</v>
      </c>
      <c r="M5" s="9">
        <f t="shared" si="4"/>
        <v>100</v>
      </c>
      <c r="N5" s="13">
        <v>3291493.11</v>
      </c>
      <c r="O5" s="9">
        <f t="shared" si="5"/>
        <v>329149311</v>
      </c>
      <c r="Q5" s="11" t="s">
        <v>89</v>
      </c>
      <c r="R5" s="12">
        <f>$C$54-$R$2</f>
        <v>73045288399.830002</v>
      </c>
    </row>
    <row r="6" spans="2:18" x14ac:dyDescent="0.2">
      <c r="B6" s="9">
        <v>3</v>
      </c>
      <c r="C6" s="9" t="s">
        <v>23</v>
      </c>
      <c r="D6" s="13">
        <v>205</v>
      </c>
      <c r="E6" s="13">
        <v>-2.3210999999999999E-2</v>
      </c>
      <c r="F6" s="13">
        <v>1</v>
      </c>
      <c r="G6" s="9">
        <f t="shared" si="0"/>
        <v>0.56387485919843028</v>
      </c>
      <c r="H6" s="9">
        <f t="shared" si="1"/>
        <v>1</v>
      </c>
      <c r="I6" s="14">
        <v>1</v>
      </c>
      <c r="J6" s="14">
        <v>205</v>
      </c>
      <c r="K6" s="9">
        <f t="shared" si="2"/>
        <v>151.3566076814069</v>
      </c>
      <c r="L6" s="9">
        <f t="shared" si="3"/>
        <v>205</v>
      </c>
      <c r="M6" s="9">
        <f t="shared" si="4"/>
        <v>100</v>
      </c>
      <c r="N6" s="13">
        <v>3291492.36</v>
      </c>
      <c r="O6" s="9">
        <f t="shared" si="5"/>
        <v>674755933.79999995</v>
      </c>
      <c r="Q6" s="11" t="s">
        <v>90</v>
      </c>
      <c r="R6" s="12">
        <f>$C$55-$R$3</f>
        <v>0</v>
      </c>
    </row>
    <row r="7" spans="2:18" x14ac:dyDescent="0.2">
      <c r="B7" s="9">
        <v>4</v>
      </c>
      <c r="C7" s="9" t="s">
        <v>24</v>
      </c>
      <c r="D7" s="13">
        <v>210</v>
      </c>
      <c r="E7" s="13">
        <v>9.5606999999999998E-2</v>
      </c>
      <c r="F7" s="13">
        <v>0.79362299999999997</v>
      </c>
      <c r="G7" s="9">
        <f t="shared" si="0"/>
        <v>0.73656916536463057</v>
      </c>
      <c r="H7" s="9">
        <f t="shared" si="1"/>
        <v>0.79362279362279353</v>
      </c>
      <c r="I7" s="14">
        <v>1</v>
      </c>
      <c r="J7" s="14">
        <v>210</v>
      </c>
      <c r="K7" s="9">
        <f t="shared" si="2"/>
        <v>159.47202950025812</v>
      </c>
      <c r="L7" s="9">
        <f t="shared" si="3"/>
        <v>210</v>
      </c>
      <c r="M7" s="9">
        <f t="shared" si="4"/>
        <v>100</v>
      </c>
      <c r="N7" s="13">
        <v>3291493.11</v>
      </c>
      <c r="O7" s="9">
        <f t="shared" si="5"/>
        <v>691213553.10000002</v>
      </c>
    </row>
    <row r="8" spans="2:18" x14ac:dyDescent="0.2">
      <c r="B8" s="9">
        <v>5</v>
      </c>
      <c r="C8" s="9" t="s">
        <v>25</v>
      </c>
      <c r="D8" s="13">
        <v>200</v>
      </c>
      <c r="E8" s="13">
        <v>-4.3718E-2</v>
      </c>
      <c r="F8" s="13">
        <v>0.77807599999999999</v>
      </c>
      <c r="G8" s="9">
        <f t="shared" si="0"/>
        <v>0.53406925620435308</v>
      </c>
      <c r="H8" s="9">
        <f t="shared" si="1"/>
        <v>0.7780757780757781</v>
      </c>
      <c r="I8" s="14">
        <v>0</v>
      </c>
      <c r="J8" s="14">
        <v>0</v>
      </c>
      <c r="K8" s="9">
        <f t="shared" si="2"/>
        <v>0</v>
      </c>
      <c r="L8" s="9">
        <f t="shared" si="3"/>
        <v>0</v>
      </c>
      <c r="M8" s="9">
        <f t="shared" si="4"/>
        <v>0</v>
      </c>
      <c r="N8" s="13">
        <v>3291507.36</v>
      </c>
      <c r="O8" s="9">
        <f t="shared" si="5"/>
        <v>0</v>
      </c>
    </row>
    <row r="9" spans="2:18" x14ac:dyDescent="0.2">
      <c r="B9" s="9">
        <v>6</v>
      </c>
      <c r="C9" s="9" t="s">
        <v>26</v>
      </c>
      <c r="D9" s="13">
        <v>200</v>
      </c>
      <c r="E9" s="13">
        <v>-4.0799000000000002E-2</v>
      </c>
      <c r="F9" s="13">
        <v>1</v>
      </c>
      <c r="G9" s="9">
        <f t="shared" si="0"/>
        <v>0.53831183459903353</v>
      </c>
      <c r="H9" s="9">
        <f t="shared" si="1"/>
        <v>1</v>
      </c>
      <c r="I9" s="14">
        <v>1</v>
      </c>
      <c r="J9" s="14">
        <v>200</v>
      </c>
      <c r="K9" s="9">
        <f t="shared" si="2"/>
        <v>144.59742015188402</v>
      </c>
      <c r="L9" s="9">
        <f t="shared" si="3"/>
        <v>200</v>
      </c>
      <c r="M9" s="9">
        <f t="shared" si="4"/>
        <v>100</v>
      </c>
      <c r="N9" s="13">
        <v>3291493.11</v>
      </c>
      <c r="O9" s="9">
        <f t="shared" si="5"/>
        <v>658298622</v>
      </c>
    </row>
    <row r="10" spans="2:18" x14ac:dyDescent="0.2">
      <c r="B10" s="9">
        <v>7</v>
      </c>
      <c r="C10" s="9" t="s">
        <v>27</v>
      </c>
      <c r="D10" s="13">
        <v>200</v>
      </c>
      <c r="E10" s="13">
        <v>-0.30649700000000002</v>
      </c>
      <c r="F10" s="13">
        <v>1</v>
      </c>
      <c r="G10" s="9">
        <f t="shared" si="0"/>
        <v>0.15213691362959195</v>
      </c>
      <c r="H10" s="9">
        <f t="shared" si="1"/>
        <v>1</v>
      </c>
      <c r="I10" s="14">
        <v>0</v>
      </c>
      <c r="J10" s="14">
        <v>0</v>
      </c>
      <c r="K10" s="9">
        <f t="shared" si="2"/>
        <v>0</v>
      </c>
      <c r="L10" s="9">
        <f t="shared" si="3"/>
        <v>0</v>
      </c>
      <c r="M10" s="9">
        <f t="shared" si="4"/>
        <v>0</v>
      </c>
      <c r="N10" s="13">
        <v>3291493.11</v>
      </c>
      <c r="O10" s="9">
        <f t="shared" si="5"/>
        <v>0</v>
      </c>
    </row>
    <row r="11" spans="2:18" x14ac:dyDescent="0.2">
      <c r="B11" s="9">
        <v>8</v>
      </c>
      <c r="C11" s="9" t="s">
        <v>28</v>
      </c>
      <c r="D11" s="13">
        <v>200</v>
      </c>
      <c r="E11" s="13">
        <v>-4.1147000000000003E-2</v>
      </c>
      <c r="F11" s="13">
        <v>0.60688399999999998</v>
      </c>
      <c r="G11" s="9">
        <f t="shared" si="0"/>
        <v>0.53780603902474478</v>
      </c>
      <c r="H11" s="9">
        <f t="shared" si="1"/>
        <v>0.60688360688360687</v>
      </c>
      <c r="I11" s="14">
        <v>0</v>
      </c>
      <c r="J11" s="14">
        <v>0</v>
      </c>
      <c r="K11" s="9">
        <f t="shared" si="2"/>
        <v>0</v>
      </c>
      <c r="L11" s="9">
        <f t="shared" si="3"/>
        <v>0</v>
      </c>
      <c r="M11" s="9">
        <f t="shared" si="4"/>
        <v>0</v>
      </c>
      <c r="N11" s="13">
        <v>3291489.36</v>
      </c>
      <c r="O11" s="9">
        <f t="shared" si="5"/>
        <v>0</v>
      </c>
    </row>
    <row r="12" spans="2:18" x14ac:dyDescent="0.2">
      <c r="B12" s="9">
        <v>9</v>
      </c>
      <c r="C12" s="9" t="s">
        <v>29</v>
      </c>
      <c r="D12" s="13">
        <v>200</v>
      </c>
      <c r="E12" s="13">
        <v>-0.233018</v>
      </c>
      <c r="F12" s="13">
        <v>0.76242100000000002</v>
      </c>
      <c r="G12" s="9">
        <f t="shared" si="0"/>
        <v>0.2589339050179863</v>
      </c>
      <c r="H12" s="9">
        <f t="shared" si="1"/>
        <v>0.7624207624207624</v>
      </c>
      <c r="I12" s="14">
        <v>0</v>
      </c>
      <c r="J12" s="14">
        <v>0</v>
      </c>
      <c r="K12" s="9">
        <f t="shared" si="2"/>
        <v>0</v>
      </c>
      <c r="L12" s="9">
        <f t="shared" si="3"/>
        <v>0</v>
      </c>
      <c r="M12" s="9">
        <f t="shared" si="4"/>
        <v>0</v>
      </c>
      <c r="N12" s="13">
        <v>3291494.01</v>
      </c>
      <c r="O12" s="9">
        <f t="shared" si="5"/>
        <v>0</v>
      </c>
    </row>
    <row r="13" spans="2:18" x14ac:dyDescent="0.2">
      <c r="B13" s="9">
        <v>10</v>
      </c>
      <c r="C13" s="9" t="s">
        <v>30</v>
      </c>
      <c r="D13" s="13">
        <v>340</v>
      </c>
      <c r="E13" s="13">
        <v>-0.233185</v>
      </c>
      <c r="F13" s="13">
        <v>0.21188000000000001</v>
      </c>
      <c r="G13" s="9">
        <f t="shared" si="0"/>
        <v>0.25869118127974999</v>
      </c>
      <c r="H13" s="9">
        <f t="shared" si="1"/>
        <v>0.21187921187921191</v>
      </c>
      <c r="I13" s="14">
        <v>0</v>
      </c>
      <c r="J13" s="14">
        <v>0</v>
      </c>
      <c r="K13" s="9">
        <f t="shared" si="2"/>
        <v>0</v>
      </c>
      <c r="L13" s="9">
        <f t="shared" si="3"/>
        <v>0</v>
      </c>
      <c r="M13" s="9">
        <f t="shared" si="4"/>
        <v>0</v>
      </c>
      <c r="N13" s="13">
        <v>3291492.36</v>
      </c>
      <c r="O13" s="9">
        <f t="shared" si="5"/>
        <v>0</v>
      </c>
    </row>
    <row r="14" spans="2:18" x14ac:dyDescent="0.2">
      <c r="B14" s="9">
        <v>11</v>
      </c>
      <c r="C14" s="9" t="s">
        <v>31</v>
      </c>
      <c r="D14" s="13">
        <v>232</v>
      </c>
      <c r="E14" s="13">
        <v>0.126411</v>
      </c>
      <c r="F14" s="13">
        <v>0.83320300000000003</v>
      </c>
      <c r="G14" s="9">
        <f t="shared" si="0"/>
        <v>0.78134079430253267</v>
      </c>
      <c r="H14" s="9">
        <f t="shared" si="1"/>
        <v>0.83320283320283317</v>
      </c>
      <c r="I14" s="14">
        <v>1</v>
      </c>
      <c r="J14" s="14">
        <v>232</v>
      </c>
      <c r="K14" s="9">
        <f t="shared" si="2"/>
        <v>186.08386148813545</v>
      </c>
      <c r="L14" s="9">
        <f t="shared" si="3"/>
        <v>232</v>
      </c>
      <c r="M14" s="9">
        <f t="shared" si="4"/>
        <v>100</v>
      </c>
      <c r="N14" s="13">
        <v>3297151.86</v>
      </c>
      <c r="O14" s="9">
        <f t="shared" si="5"/>
        <v>764939231.51999998</v>
      </c>
    </row>
    <row r="15" spans="2:18" x14ac:dyDescent="0.2">
      <c r="B15" s="9">
        <v>12</v>
      </c>
      <c r="C15" s="9" t="s">
        <v>32</v>
      </c>
      <c r="D15" s="13">
        <v>200</v>
      </c>
      <c r="E15" s="13">
        <v>-0.100535</v>
      </c>
      <c r="F15" s="13">
        <v>0.875606</v>
      </c>
      <c r="G15" s="9">
        <f t="shared" si="0"/>
        <v>0.4514894080883689</v>
      </c>
      <c r="H15" s="9">
        <f t="shared" si="1"/>
        <v>0.87560587560587555</v>
      </c>
      <c r="I15" s="14">
        <v>0</v>
      </c>
      <c r="J15" s="14">
        <v>0</v>
      </c>
      <c r="K15" s="9">
        <f t="shared" si="2"/>
        <v>0</v>
      </c>
      <c r="L15" s="9">
        <f t="shared" si="3"/>
        <v>0</v>
      </c>
      <c r="M15" s="9">
        <f t="shared" si="4"/>
        <v>0</v>
      </c>
      <c r="N15" s="13">
        <v>3291493.11</v>
      </c>
      <c r="O15" s="9">
        <f t="shared" si="5"/>
        <v>0</v>
      </c>
    </row>
    <row r="16" spans="2:18" x14ac:dyDescent="0.2">
      <c r="B16" s="9">
        <v>13</v>
      </c>
      <c r="C16" s="9" t="s">
        <v>33</v>
      </c>
      <c r="D16" s="13">
        <v>200</v>
      </c>
      <c r="E16" s="13">
        <v>-8.8095999999999994E-2</v>
      </c>
      <c r="F16" s="13">
        <v>1</v>
      </c>
      <c r="G16" s="9">
        <f t="shared" si="0"/>
        <v>0.46956869299807419</v>
      </c>
      <c r="H16" s="9">
        <f t="shared" si="1"/>
        <v>1</v>
      </c>
      <c r="I16" s="14">
        <v>1</v>
      </c>
      <c r="J16" s="14">
        <v>200</v>
      </c>
      <c r="K16" s="9">
        <f t="shared" si="2"/>
        <v>136.34824315976891</v>
      </c>
      <c r="L16" s="9">
        <f t="shared" si="3"/>
        <v>200</v>
      </c>
      <c r="M16" s="9">
        <f t="shared" si="4"/>
        <v>100</v>
      </c>
      <c r="N16" s="13">
        <v>3291489.36</v>
      </c>
      <c r="O16" s="9">
        <f t="shared" si="5"/>
        <v>658297872</v>
      </c>
    </row>
    <row r="17" spans="2:15" x14ac:dyDescent="0.2">
      <c r="B17" s="9">
        <v>14</v>
      </c>
      <c r="C17" s="9" t="s">
        <v>34</v>
      </c>
      <c r="D17" s="13">
        <v>200</v>
      </c>
      <c r="E17" s="13">
        <v>-9.4739000000000004E-2</v>
      </c>
      <c r="F17" s="13">
        <v>0.81817200000000001</v>
      </c>
      <c r="G17" s="9">
        <f t="shared" si="0"/>
        <v>0.45991352058428109</v>
      </c>
      <c r="H17" s="9">
        <f t="shared" si="1"/>
        <v>0.81817181817181817</v>
      </c>
      <c r="I17" s="14">
        <v>0</v>
      </c>
      <c r="J17" s="14">
        <v>0</v>
      </c>
      <c r="K17" s="9">
        <f t="shared" si="2"/>
        <v>0</v>
      </c>
      <c r="L17" s="9">
        <f t="shared" si="3"/>
        <v>0</v>
      </c>
      <c r="M17" s="9">
        <f t="shared" si="4"/>
        <v>0</v>
      </c>
      <c r="N17" s="13">
        <v>3291493.11</v>
      </c>
      <c r="O17" s="9">
        <f t="shared" si="5"/>
        <v>0</v>
      </c>
    </row>
    <row r="18" spans="2:15" x14ac:dyDescent="0.2">
      <c r="B18" s="9">
        <v>15</v>
      </c>
      <c r="C18" s="9" t="s">
        <v>35</v>
      </c>
      <c r="D18" s="13">
        <v>200</v>
      </c>
      <c r="E18" s="13">
        <v>-3.3449E-2</v>
      </c>
      <c r="F18" s="13">
        <v>1</v>
      </c>
      <c r="G18" s="9">
        <f t="shared" si="0"/>
        <v>0.54899458595254536</v>
      </c>
      <c r="H18" s="9">
        <f t="shared" si="1"/>
        <v>1</v>
      </c>
      <c r="I18" s="14">
        <v>1</v>
      </c>
      <c r="J18" s="14">
        <v>200</v>
      </c>
      <c r="K18" s="9">
        <f t="shared" si="2"/>
        <v>145.87935031430544</v>
      </c>
      <c r="L18" s="9">
        <f t="shared" si="3"/>
        <v>200</v>
      </c>
      <c r="M18" s="9">
        <f t="shared" si="4"/>
        <v>100</v>
      </c>
      <c r="N18" s="13">
        <v>3291489.36</v>
      </c>
      <c r="O18" s="9">
        <f t="shared" si="5"/>
        <v>658297872</v>
      </c>
    </row>
    <row r="19" spans="2:15" x14ac:dyDescent="0.2">
      <c r="B19" s="9">
        <v>16</v>
      </c>
      <c r="C19" s="9" t="s">
        <v>36</v>
      </c>
      <c r="D19" s="13">
        <v>200</v>
      </c>
      <c r="E19" s="13">
        <v>-0.101441</v>
      </c>
      <c r="F19" s="13">
        <v>0.47257500000000002</v>
      </c>
      <c r="G19" s="9">
        <f t="shared" si="0"/>
        <v>0.45017259547254823</v>
      </c>
      <c r="H19" s="9">
        <f t="shared" si="1"/>
        <v>0.47257447257447266</v>
      </c>
      <c r="I19" s="14">
        <v>0</v>
      </c>
      <c r="J19" s="14">
        <v>0</v>
      </c>
      <c r="K19" s="9">
        <f t="shared" si="2"/>
        <v>0</v>
      </c>
      <c r="L19" s="9">
        <f t="shared" si="3"/>
        <v>0</v>
      </c>
      <c r="M19" s="9">
        <f t="shared" si="4"/>
        <v>0</v>
      </c>
      <c r="N19" s="13">
        <v>3291493.11</v>
      </c>
      <c r="O19" s="9">
        <f t="shared" si="5"/>
        <v>0</v>
      </c>
    </row>
    <row r="20" spans="2:15" x14ac:dyDescent="0.2">
      <c r="B20" s="9">
        <v>17</v>
      </c>
      <c r="C20" s="9" t="s">
        <v>37</v>
      </c>
      <c r="D20" s="13">
        <v>232</v>
      </c>
      <c r="E20" s="13">
        <v>-8.3876000000000006E-2</v>
      </c>
      <c r="F20" s="13">
        <v>1</v>
      </c>
      <c r="G20" s="9">
        <f t="shared" si="0"/>
        <v>0.47570219105410416</v>
      </c>
      <c r="H20" s="9">
        <f t="shared" si="1"/>
        <v>1</v>
      </c>
      <c r="I20" s="14">
        <v>1</v>
      </c>
      <c r="J20" s="14">
        <v>232</v>
      </c>
      <c r="K20" s="9">
        <f t="shared" si="2"/>
        <v>159.01774499473132</v>
      </c>
      <c r="L20" s="9">
        <f t="shared" si="3"/>
        <v>232</v>
      </c>
      <c r="M20" s="9">
        <f t="shared" si="4"/>
        <v>100</v>
      </c>
      <c r="N20" s="13">
        <v>3291493.11</v>
      </c>
      <c r="O20" s="9">
        <f t="shared" si="5"/>
        <v>763626401.51999998</v>
      </c>
    </row>
    <row r="21" spans="2:15" x14ac:dyDescent="0.2">
      <c r="B21" s="9">
        <v>18</v>
      </c>
      <c r="C21" s="9" t="s">
        <v>38</v>
      </c>
      <c r="D21" s="13">
        <v>200</v>
      </c>
      <c r="E21" s="13">
        <v>5.5376000000000002E-2</v>
      </c>
      <c r="F21" s="13">
        <v>0.50817400000000001</v>
      </c>
      <c r="G21" s="9">
        <f t="shared" si="0"/>
        <v>0.67809599941862575</v>
      </c>
      <c r="H21" s="9">
        <f t="shared" si="1"/>
        <v>0.50817350817350815</v>
      </c>
      <c r="I21" s="14">
        <v>0</v>
      </c>
      <c r="J21" s="14">
        <v>0</v>
      </c>
      <c r="K21" s="9">
        <f t="shared" si="2"/>
        <v>0</v>
      </c>
      <c r="L21" s="9">
        <f t="shared" si="3"/>
        <v>0</v>
      </c>
      <c r="M21" s="9">
        <f t="shared" si="4"/>
        <v>0</v>
      </c>
      <c r="N21" s="13">
        <v>3291489.36</v>
      </c>
      <c r="O21" s="9">
        <f t="shared" si="5"/>
        <v>0</v>
      </c>
    </row>
    <row r="22" spans="2:15" x14ac:dyDescent="0.2">
      <c r="B22" s="9">
        <v>19</v>
      </c>
      <c r="C22" s="9" t="s">
        <v>39</v>
      </c>
      <c r="D22" s="13">
        <v>200</v>
      </c>
      <c r="E22" s="13">
        <v>-2.5201000000000001E-2</v>
      </c>
      <c r="F22" s="13">
        <v>0.88946000000000003</v>
      </c>
      <c r="G22" s="9">
        <f t="shared" si="0"/>
        <v>0.56098252243741153</v>
      </c>
      <c r="H22" s="9">
        <f t="shared" si="1"/>
        <v>0.88945988945988952</v>
      </c>
      <c r="I22" s="14">
        <v>1</v>
      </c>
      <c r="J22" s="14">
        <v>200</v>
      </c>
      <c r="K22" s="9">
        <f t="shared" si="2"/>
        <v>138.47469384928056</v>
      </c>
      <c r="L22" s="9">
        <f t="shared" si="3"/>
        <v>200</v>
      </c>
      <c r="M22" s="9">
        <f t="shared" si="4"/>
        <v>100</v>
      </c>
      <c r="N22" s="13">
        <v>3291493.11</v>
      </c>
      <c r="O22" s="9">
        <f t="shared" si="5"/>
        <v>658298622</v>
      </c>
    </row>
    <row r="23" spans="2:15" x14ac:dyDescent="0.2">
      <c r="B23" s="9">
        <v>20</v>
      </c>
      <c r="C23" s="9" t="s">
        <v>40</v>
      </c>
      <c r="D23" s="13">
        <v>261</v>
      </c>
      <c r="E23" s="13">
        <v>0.115532</v>
      </c>
      <c r="F23" s="13">
        <v>0.96267499999999995</v>
      </c>
      <c r="G23" s="9">
        <f t="shared" si="0"/>
        <v>0.7655288688637768</v>
      </c>
      <c r="H23" s="9">
        <f t="shared" si="1"/>
        <v>0.96267496267496266</v>
      </c>
      <c r="I23" s="14">
        <v>1</v>
      </c>
      <c r="J23" s="14">
        <v>261</v>
      </c>
      <c r="K23" s="9">
        <f t="shared" si="2"/>
        <v>220.38508696733356</v>
      </c>
      <c r="L23" s="9">
        <f t="shared" si="3"/>
        <v>261</v>
      </c>
      <c r="M23" s="9">
        <f t="shared" si="4"/>
        <v>100</v>
      </c>
      <c r="N23" s="13">
        <v>3291493.11</v>
      </c>
      <c r="O23" s="9">
        <f t="shared" si="5"/>
        <v>859079701.70999992</v>
      </c>
    </row>
    <row r="24" spans="2:15" x14ac:dyDescent="0.2">
      <c r="B24" s="9">
        <v>21</v>
      </c>
      <c r="C24" s="9" t="s">
        <v>41</v>
      </c>
      <c r="D24" s="13">
        <v>200</v>
      </c>
      <c r="E24" s="13">
        <v>-6.6249000000000002E-2</v>
      </c>
      <c r="F24" s="13">
        <v>1</v>
      </c>
      <c r="G24" s="9">
        <f t="shared" si="0"/>
        <v>0.50132189964027474</v>
      </c>
      <c r="H24" s="9">
        <f t="shared" si="1"/>
        <v>1</v>
      </c>
      <c r="I24" s="14">
        <v>1</v>
      </c>
      <c r="J24" s="14">
        <v>200</v>
      </c>
      <c r="K24" s="9">
        <f t="shared" si="2"/>
        <v>140.15862795683299</v>
      </c>
      <c r="L24" s="9">
        <f t="shared" si="3"/>
        <v>200</v>
      </c>
      <c r="M24" s="9">
        <f t="shared" si="4"/>
        <v>100</v>
      </c>
      <c r="N24" s="13">
        <v>3291490.11</v>
      </c>
      <c r="O24" s="9">
        <f t="shared" si="5"/>
        <v>658298022</v>
      </c>
    </row>
    <row r="25" spans="2:15" x14ac:dyDescent="0.2">
      <c r="B25" s="9">
        <v>22</v>
      </c>
      <c r="C25" s="9" t="s">
        <v>42</v>
      </c>
      <c r="D25" s="13">
        <v>380</v>
      </c>
      <c r="E25" s="13">
        <v>-0.14436099999999999</v>
      </c>
      <c r="F25" s="13">
        <v>0.72025799999999995</v>
      </c>
      <c r="G25" s="9">
        <f t="shared" si="0"/>
        <v>0.38779114131027215</v>
      </c>
      <c r="H25" s="9">
        <f t="shared" si="1"/>
        <v>0.72025772025772017</v>
      </c>
      <c r="I25" s="14">
        <v>0</v>
      </c>
      <c r="J25" s="14">
        <v>0</v>
      </c>
      <c r="K25" s="9">
        <f t="shared" si="2"/>
        <v>0</v>
      </c>
      <c r="L25" s="9">
        <f t="shared" si="3"/>
        <v>0</v>
      </c>
      <c r="M25" s="9">
        <f t="shared" si="4"/>
        <v>0</v>
      </c>
      <c r="N25" s="13">
        <v>3291822.96</v>
      </c>
      <c r="O25" s="9">
        <f t="shared" si="5"/>
        <v>0</v>
      </c>
    </row>
    <row r="26" spans="2:15" x14ac:dyDescent="0.2">
      <c r="B26" s="9">
        <v>23</v>
      </c>
      <c r="C26" s="9" t="s">
        <v>43</v>
      </c>
      <c r="D26" s="13">
        <v>200</v>
      </c>
      <c r="E26" s="13">
        <v>0.111692</v>
      </c>
      <c r="F26" s="13">
        <v>0.62291099999999999</v>
      </c>
      <c r="G26" s="9">
        <f t="shared" si="0"/>
        <v>0.75994767631990112</v>
      </c>
      <c r="H26" s="9">
        <f t="shared" si="1"/>
        <v>0.62291062291062294</v>
      </c>
      <c r="I26" s="14">
        <v>1</v>
      </c>
      <c r="J26" s="14">
        <v>200</v>
      </c>
      <c r="K26" s="9">
        <f t="shared" si="2"/>
        <v>141.02657099123797</v>
      </c>
      <c r="L26" s="9">
        <f t="shared" si="3"/>
        <v>200</v>
      </c>
      <c r="M26" s="9">
        <f t="shared" si="4"/>
        <v>100</v>
      </c>
      <c r="N26" s="13">
        <v>3291740.46</v>
      </c>
      <c r="O26" s="9">
        <f t="shared" si="5"/>
        <v>658348092</v>
      </c>
    </row>
    <row r="27" spans="2:15" x14ac:dyDescent="0.2">
      <c r="B27" s="9">
        <v>24</v>
      </c>
      <c r="C27" s="9" t="s">
        <v>44</v>
      </c>
      <c r="D27" s="13">
        <v>200</v>
      </c>
      <c r="E27" s="13">
        <v>-0.229431</v>
      </c>
      <c r="F27" s="13">
        <v>1</v>
      </c>
      <c r="G27" s="9">
        <f t="shared" si="0"/>
        <v>0.26414737836561175</v>
      </c>
      <c r="H27" s="9">
        <f t="shared" si="1"/>
        <v>1</v>
      </c>
      <c r="I27" s="14">
        <v>0</v>
      </c>
      <c r="J27" s="14">
        <v>0</v>
      </c>
      <c r="K27" s="9">
        <f t="shared" si="2"/>
        <v>0</v>
      </c>
      <c r="L27" s="9">
        <f t="shared" si="3"/>
        <v>0</v>
      </c>
      <c r="M27" s="9">
        <f t="shared" si="4"/>
        <v>0</v>
      </c>
      <c r="N27" s="13">
        <v>3291494.61</v>
      </c>
      <c r="O27" s="9">
        <f t="shared" si="5"/>
        <v>0</v>
      </c>
    </row>
    <row r="28" spans="2:15" x14ac:dyDescent="0.2">
      <c r="B28" s="9">
        <v>25</v>
      </c>
      <c r="C28" s="9" t="s">
        <v>45</v>
      </c>
      <c r="D28" s="13">
        <v>200</v>
      </c>
      <c r="E28" s="13">
        <v>-0.29552899999999999</v>
      </c>
      <c r="F28" s="13">
        <v>0.34206799999999998</v>
      </c>
      <c r="G28" s="9">
        <f t="shared" si="0"/>
        <v>0.16807819483303663</v>
      </c>
      <c r="H28" s="9">
        <f t="shared" si="1"/>
        <v>0.34206734206734207</v>
      </c>
      <c r="I28" s="14">
        <v>0</v>
      </c>
      <c r="J28" s="14">
        <v>0</v>
      </c>
      <c r="K28" s="9">
        <f t="shared" si="2"/>
        <v>0</v>
      </c>
      <c r="L28" s="9">
        <f t="shared" si="3"/>
        <v>0</v>
      </c>
      <c r="M28" s="9">
        <f t="shared" si="4"/>
        <v>0</v>
      </c>
      <c r="N28" s="13">
        <v>3291489.36</v>
      </c>
      <c r="O28" s="9">
        <f t="shared" si="5"/>
        <v>0</v>
      </c>
    </row>
    <row r="29" spans="2:15" x14ac:dyDescent="0.2">
      <c r="B29" s="9">
        <v>26</v>
      </c>
      <c r="C29" s="9" t="s">
        <v>46</v>
      </c>
      <c r="D29" s="13">
        <v>200</v>
      </c>
      <c r="E29" s="13">
        <v>-0.12865599999999999</v>
      </c>
      <c r="F29" s="13">
        <v>0.986564</v>
      </c>
      <c r="G29" s="9">
        <f t="shared" si="0"/>
        <v>0.41061734675338835</v>
      </c>
      <c r="H29" s="9">
        <f t="shared" si="1"/>
        <v>0.98656398656398658</v>
      </c>
      <c r="I29" s="14">
        <v>0</v>
      </c>
      <c r="J29" s="14">
        <v>0</v>
      </c>
      <c r="K29" s="9">
        <f t="shared" si="2"/>
        <v>0</v>
      </c>
      <c r="L29" s="9">
        <f t="shared" si="3"/>
        <v>0</v>
      </c>
      <c r="M29" s="9">
        <f t="shared" si="4"/>
        <v>0</v>
      </c>
      <c r="N29" s="13">
        <v>3291493.11</v>
      </c>
      <c r="O29" s="9">
        <f t="shared" si="5"/>
        <v>0</v>
      </c>
    </row>
    <row r="30" spans="2:15" x14ac:dyDescent="0.2">
      <c r="B30" s="9">
        <v>27</v>
      </c>
      <c r="C30" s="9" t="s">
        <v>47</v>
      </c>
      <c r="D30" s="13">
        <v>202</v>
      </c>
      <c r="E30" s="13">
        <v>7.5174000000000005E-2</v>
      </c>
      <c r="F30" s="13">
        <v>1</v>
      </c>
      <c r="G30" s="9">
        <f t="shared" si="0"/>
        <v>0.70687111660186774</v>
      </c>
      <c r="H30" s="9">
        <f t="shared" si="1"/>
        <v>1</v>
      </c>
      <c r="I30" s="14">
        <v>1</v>
      </c>
      <c r="J30" s="14">
        <v>202</v>
      </c>
      <c r="K30" s="9">
        <f t="shared" si="2"/>
        <v>166.47277933214636</v>
      </c>
      <c r="L30" s="9">
        <f t="shared" si="3"/>
        <v>202</v>
      </c>
      <c r="M30" s="9">
        <f t="shared" si="4"/>
        <v>100</v>
      </c>
      <c r="N30" s="13">
        <v>3291909.21</v>
      </c>
      <c r="O30" s="9">
        <f t="shared" si="5"/>
        <v>664965660.41999996</v>
      </c>
    </row>
    <row r="31" spans="2:15" x14ac:dyDescent="0.2">
      <c r="B31" s="9">
        <v>28</v>
      </c>
      <c r="C31" s="9" t="s">
        <v>48</v>
      </c>
      <c r="D31" s="13">
        <v>553</v>
      </c>
      <c r="E31" s="13">
        <v>9.3993999999999994E-2</v>
      </c>
      <c r="F31" s="13">
        <v>1</v>
      </c>
      <c r="G31" s="9">
        <f t="shared" si="0"/>
        <v>0.73422477380909124</v>
      </c>
      <c r="H31" s="9">
        <f t="shared" si="1"/>
        <v>1</v>
      </c>
      <c r="I31" s="14">
        <v>1</v>
      </c>
      <c r="J31" s="14">
        <v>553</v>
      </c>
      <c r="K31" s="9">
        <f t="shared" si="2"/>
        <v>464.81577994985651</v>
      </c>
      <c r="L31" s="9">
        <f t="shared" si="3"/>
        <v>553</v>
      </c>
      <c r="M31" s="9">
        <f t="shared" si="4"/>
        <v>100</v>
      </c>
      <c r="N31" s="13">
        <v>3291507.36</v>
      </c>
      <c r="O31" s="9">
        <f t="shared" si="5"/>
        <v>1820203570.0799999</v>
      </c>
    </row>
    <row r="32" spans="2:15" x14ac:dyDescent="0.2">
      <c r="B32" s="9">
        <v>29</v>
      </c>
      <c r="C32" s="9" t="s">
        <v>49</v>
      </c>
      <c r="D32" s="13">
        <v>328</v>
      </c>
      <c r="E32" s="13">
        <v>-7.3454000000000005E-2</v>
      </c>
      <c r="F32" s="13">
        <v>9.9999999999999995E-7</v>
      </c>
      <c r="G32" s="9">
        <f t="shared" si="0"/>
        <v>0.49084989644271648</v>
      </c>
      <c r="H32" s="9">
        <f t="shared" si="1"/>
        <v>0</v>
      </c>
      <c r="I32" s="14">
        <v>0</v>
      </c>
      <c r="J32" s="14">
        <v>0</v>
      </c>
      <c r="K32" s="9">
        <f t="shared" si="2"/>
        <v>0</v>
      </c>
      <c r="L32" s="9">
        <f t="shared" si="3"/>
        <v>0</v>
      </c>
      <c r="M32" s="9">
        <f t="shared" si="4"/>
        <v>0</v>
      </c>
      <c r="N32" s="13">
        <v>3291493.11</v>
      </c>
      <c r="O32" s="9">
        <f t="shared" si="5"/>
        <v>0</v>
      </c>
    </row>
    <row r="33" spans="2:15" x14ac:dyDescent="0.2">
      <c r="B33" s="9">
        <v>30</v>
      </c>
      <c r="C33" s="9" t="s">
        <v>50</v>
      </c>
      <c r="D33" s="13">
        <v>490</v>
      </c>
      <c r="E33" s="13">
        <v>0.176979</v>
      </c>
      <c r="F33" s="13">
        <v>1</v>
      </c>
      <c r="G33" s="9">
        <f t="shared" si="0"/>
        <v>0.85483812361469413</v>
      </c>
      <c r="H33" s="9">
        <f t="shared" si="1"/>
        <v>1</v>
      </c>
      <c r="I33" s="14">
        <v>1</v>
      </c>
      <c r="J33" s="14">
        <v>490</v>
      </c>
      <c r="K33" s="9">
        <f t="shared" si="2"/>
        <v>447.32240834272005</v>
      </c>
      <c r="L33" s="9">
        <f t="shared" si="3"/>
        <v>490</v>
      </c>
      <c r="M33" s="9">
        <f t="shared" si="4"/>
        <v>100</v>
      </c>
      <c r="N33" s="13">
        <v>3291864.36</v>
      </c>
      <c r="O33" s="9">
        <f t="shared" si="5"/>
        <v>1613013536.3999999</v>
      </c>
    </row>
    <row r="34" spans="2:15" x14ac:dyDescent="0.2">
      <c r="B34" s="9">
        <v>31</v>
      </c>
      <c r="C34" s="9" t="s">
        <v>51</v>
      </c>
      <c r="D34" s="13">
        <v>265</v>
      </c>
      <c r="E34" s="13">
        <v>3.6864000000000001E-2</v>
      </c>
      <c r="F34" s="13">
        <v>0.99551900000000004</v>
      </c>
      <c r="G34" s="9">
        <f t="shared" si="0"/>
        <v>0.65119000036335895</v>
      </c>
      <c r="H34" s="9">
        <f t="shared" si="1"/>
        <v>0.99551899551899559</v>
      </c>
      <c r="I34" s="14">
        <v>1</v>
      </c>
      <c r="J34" s="14">
        <v>265</v>
      </c>
      <c r="K34" s="9">
        <f t="shared" si="2"/>
        <v>209.0642235827876</v>
      </c>
      <c r="L34" s="9">
        <f t="shared" si="3"/>
        <v>265</v>
      </c>
      <c r="M34" s="9">
        <f t="shared" si="4"/>
        <v>100</v>
      </c>
      <c r="N34" s="13">
        <v>3291489.36</v>
      </c>
      <c r="O34" s="9">
        <f t="shared" si="5"/>
        <v>872244680.39999998</v>
      </c>
    </row>
    <row r="35" spans="2:15" x14ac:dyDescent="0.2">
      <c r="B35" s="9">
        <v>32</v>
      </c>
      <c r="C35" s="9" t="s">
        <v>52</v>
      </c>
      <c r="D35" s="13">
        <v>200</v>
      </c>
      <c r="E35" s="13">
        <v>7.7769000000000005E-2</v>
      </c>
      <c r="F35" s="13">
        <v>1</v>
      </c>
      <c r="G35" s="9">
        <f t="shared" si="0"/>
        <v>0.71064278187565866</v>
      </c>
      <c r="H35" s="9">
        <f t="shared" si="1"/>
        <v>1</v>
      </c>
      <c r="I35" s="14">
        <v>1</v>
      </c>
      <c r="J35" s="14">
        <v>200</v>
      </c>
      <c r="K35" s="9">
        <f t="shared" si="2"/>
        <v>165.27713382507903</v>
      </c>
      <c r="L35" s="9">
        <f t="shared" si="3"/>
        <v>200</v>
      </c>
      <c r="M35" s="9">
        <f t="shared" si="4"/>
        <v>100</v>
      </c>
      <c r="N35" s="13">
        <v>3291489.36</v>
      </c>
      <c r="O35" s="9">
        <f t="shared" si="5"/>
        <v>658297872</v>
      </c>
    </row>
    <row r="36" spans="2:15" x14ac:dyDescent="0.2">
      <c r="B36" s="9">
        <v>33</v>
      </c>
      <c r="C36" s="9" t="s">
        <v>53</v>
      </c>
      <c r="D36" s="13">
        <v>200</v>
      </c>
      <c r="E36" s="13">
        <v>-2.117E-3</v>
      </c>
      <c r="F36" s="13">
        <v>0.870363</v>
      </c>
      <c r="G36" s="9">
        <f t="shared" si="0"/>
        <v>0.5945336288652302</v>
      </c>
      <c r="H36" s="9">
        <f t="shared" si="1"/>
        <v>0.87036287036287041</v>
      </c>
      <c r="I36" s="14">
        <v>1</v>
      </c>
      <c r="J36" s="14">
        <v>200</v>
      </c>
      <c r="K36" s="9">
        <f t="shared" si="2"/>
        <v>140.97306509285724</v>
      </c>
      <c r="L36" s="9">
        <f t="shared" si="3"/>
        <v>200</v>
      </c>
      <c r="M36" s="9">
        <f t="shared" si="4"/>
        <v>100</v>
      </c>
      <c r="N36" s="13">
        <v>3291493.11</v>
      </c>
      <c r="O36" s="9">
        <f t="shared" si="5"/>
        <v>658298622</v>
      </c>
    </row>
    <row r="37" spans="2:15" x14ac:dyDescent="0.2">
      <c r="B37" s="9">
        <v>34</v>
      </c>
      <c r="C37" s="9" t="s">
        <v>54</v>
      </c>
      <c r="D37" s="13">
        <v>200</v>
      </c>
      <c r="E37" s="13">
        <v>-2.6825999999999999E-2</v>
      </c>
      <c r="F37" s="13">
        <v>0.34650300000000001</v>
      </c>
      <c r="G37" s="9">
        <f t="shared" si="0"/>
        <v>0.55862068965517242</v>
      </c>
      <c r="H37" s="9">
        <f t="shared" si="1"/>
        <v>0.34650234650234657</v>
      </c>
      <c r="I37" s="14">
        <v>0</v>
      </c>
      <c r="J37" s="14">
        <v>0</v>
      </c>
      <c r="K37" s="9">
        <f t="shared" si="2"/>
        <v>0</v>
      </c>
      <c r="L37" s="9">
        <f t="shared" si="3"/>
        <v>0</v>
      </c>
      <c r="M37" s="9">
        <f t="shared" si="4"/>
        <v>0</v>
      </c>
      <c r="N37" s="13">
        <v>3291493.11</v>
      </c>
      <c r="O37" s="9">
        <f t="shared" si="5"/>
        <v>0</v>
      </c>
    </row>
    <row r="38" spans="2:15" x14ac:dyDescent="0.2">
      <c r="B38" s="9">
        <v>35</v>
      </c>
      <c r="C38" s="9" t="s">
        <v>55</v>
      </c>
      <c r="D38" s="13">
        <v>227</v>
      </c>
      <c r="E38" s="13">
        <v>0.123615</v>
      </c>
      <c r="F38" s="13">
        <v>1</v>
      </c>
      <c r="G38" s="9">
        <f t="shared" si="0"/>
        <v>0.77727698848152316</v>
      </c>
      <c r="H38" s="9">
        <f t="shared" si="1"/>
        <v>1</v>
      </c>
      <c r="I38" s="14">
        <v>1</v>
      </c>
      <c r="J38" s="14">
        <v>227</v>
      </c>
      <c r="K38" s="9">
        <f t="shared" si="2"/>
        <v>196.66512583118347</v>
      </c>
      <c r="L38" s="9">
        <f t="shared" si="3"/>
        <v>227</v>
      </c>
      <c r="M38" s="9">
        <f t="shared" si="4"/>
        <v>100</v>
      </c>
      <c r="N38" s="13">
        <v>3293129.76</v>
      </c>
      <c r="O38" s="9">
        <f t="shared" si="5"/>
        <v>747540455.51999998</v>
      </c>
    </row>
    <row r="39" spans="2:15" x14ac:dyDescent="0.2">
      <c r="B39" s="9">
        <v>36</v>
      </c>
      <c r="C39" s="9" t="s">
        <v>56</v>
      </c>
      <c r="D39" s="13">
        <v>229</v>
      </c>
      <c r="E39" s="13">
        <v>3.2625000000000001E-2</v>
      </c>
      <c r="F39" s="13">
        <v>1</v>
      </c>
      <c r="G39" s="9">
        <f t="shared" si="0"/>
        <v>0.64502888703172123</v>
      </c>
      <c r="H39" s="9">
        <f t="shared" si="1"/>
        <v>1</v>
      </c>
      <c r="I39" s="14">
        <v>1</v>
      </c>
      <c r="J39" s="14">
        <v>229</v>
      </c>
      <c r="K39" s="9">
        <f t="shared" si="2"/>
        <v>180.2269690781585</v>
      </c>
      <c r="L39" s="9">
        <f t="shared" si="3"/>
        <v>229</v>
      </c>
      <c r="M39" s="9">
        <f t="shared" si="4"/>
        <v>100</v>
      </c>
      <c r="N39" s="13">
        <v>3291493.11</v>
      </c>
      <c r="O39" s="9">
        <f t="shared" si="5"/>
        <v>753751922.18999994</v>
      </c>
    </row>
    <row r="40" spans="2:15" x14ac:dyDescent="0.2">
      <c r="B40" s="9">
        <v>37</v>
      </c>
      <c r="C40" s="9" t="s">
        <v>57</v>
      </c>
      <c r="D40" s="13">
        <v>200</v>
      </c>
      <c r="E40" s="13">
        <v>0.117065</v>
      </c>
      <c r="F40" s="13">
        <v>0.497004</v>
      </c>
      <c r="G40" s="9">
        <f t="shared" si="0"/>
        <v>0.76775698557465211</v>
      </c>
      <c r="H40" s="9">
        <f t="shared" si="1"/>
        <v>0.49700349700349705</v>
      </c>
      <c r="I40" s="14">
        <v>0</v>
      </c>
      <c r="J40" s="14">
        <v>0</v>
      </c>
      <c r="K40" s="9">
        <f t="shared" si="2"/>
        <v>0</v>
      </c>
      <c r="L40" s="9">
        <f t="shared" si="3"/>
        <v>0</v>
      </c>
      <c r="M40" s="9">
        <f t="shared" si="4"/>
        <v>0</v>
      </c>
      <c r="N40" s="13">
        <v>3291493.11</v>
      </c>
      <c r="O40" s="9">
        <f t="shared" si="5"/>
        <v>0</v>
      </c>
    </row>
    <row r="41" spans="2:15" x14ac:dyDescent="0.2">
      <c r="B41" s="9">
        <v>38</v>
      </c>
      <c r="C41" s="9" t="s">
        <v>58</v>
      </c>
      <c r="D41" s="13">
        <v>200</v>
      </c>
      <c r="E41" s="13">
        <v>0.15895899999999999</v>
      </c>
      <c r="F41" s="13">
        <v>1</v>
      </c>
      <c r="G41" s="9">
        <f t="shared" si="0"/>
        <v>0.82864721485411141</v>
      </c>
      <c r="H41" s="9">
        <f t="shared" si="1"/>
        <v>1</v>
      </c>
      <c r="I41" s="14">
        <v>1</v>
      </c>
      <c r="J41" s="14">
        <v>200</v>
      </c>
      <c r="K41" s="9">
        <f t="shared" si="2"/>
        <v>179.43766578249338</v>
      </c>
      <c r="L41" s="9">
        <f t="shared" si="3"/>
        <v>200</v>
      </c>
      <c r="M41" s="9">
        <f t="shared" si="4"/>
        <v>100</v>
      </c>
      <c r="N41" s="13">
        <v>3291490.41</v>
      </c>
      <c r="O41" s="9">
        <f t="shared" si="5"/>
        <v>658298082</v>
      </c>
    </row>
    <row r="42" spans="2:15" x14ac:dyDescent="0.2">
      <c r="B42" s="9">
        <v>39</v>
      </c>
      <c r="C42" s="9" t="s">
        <v>59</v>
      </c>
      <c r="D42" s="13">
        <v>200</v>
      </c>
      <c r="E42" s="13">
        <v>0.27685399999999999</v>
      </c>
      <c r="F42" s="13">
        <v>0.76301099999999999</v>
      </c>
      <c r="G42" s="9">
        <f t="shared" si="0"/>
        <v>1</v>
      </c>
      <c r="H42" s="9">
        <f t="shared" si="1"/>
        <v>0.76301076301076298</v>
      </c>
      <c r="I42" s="14">
        <v>1</v>
      </c>
      <c r="J42" s="14">
        <v>200</v>
      </c>
      <c r="K42" s="9">
        <f t="shared" si="2"/>
        <v>181.04086104086105</v>
      </c>
      <c r="L42" s="9">
        <f t="shared" si="3"/>
        <v>200</v>
      </c>
      <c r="M42" s="9">
        <f t="shared" si="4"/>
        <v>100</v>
      </c>
      <c r="N42" s="13">
        <v>3291493.11</v>
      </c>
      <c r="O42" s="9">
        <f t="shared" si="5"/>
        <v>658298622</v>
      </c>
    </row>
    <row r="43" spans="2:15" x14ac:dyDescent="0.2">
      <c r="B43" s="9">
        <v>40</v>
      </c>
      <c r="C43" s="9" t="s">
        <v>60</v>
      </c>
      <c r="D43" s="13">
        <v>200</v>
      </c>
      <c r="E43" s="13">
        <v>-2.7469E-2</v>
      </c>
      <c r="F43" s="13">
        <v>0.76595299999999999</v>
      </c>
      <c r="G43" s="9">
        <f t="shared" si="0"/>
        <v>0.55768613059118488</v>
      </c>
      <c r="H43" s="9">
        <f t="shared" si="1"/>
        <v>0.76595276595276596</v>
      </c>
      <c r="I43" s="14">
        <v>0</v>
      </c>
      <c r="J43" s="14">
        <v>0</v>
      </c>
      <c r="K43" s="9">
        <f t="shared" si="2"/>
        <v>0</v>
      </c>
      <c r="L43" s="9">
        <f t="shared" si="3"/>
        <v>0</v>
      </c>
      <c r="M43" s="9">
        <f t="shared" si="4"/>
        <v>0</v>
      </c>
      <c r="N43" s="13">
        <v>3291493.11</v>
      </c>
      <c r="O43" s="9">
        <f t="shared" si="5"/>
        <v>0</v>
      </c>
    </row>
    <row r="44" spans="2:15" x14ac:dyDescent="0.2">
      <c r="B44" s="9">
        <v>41</v>
      </c>
      <c r="C44" s="9" t="s">
        <v>61</v>
      </c>
      <c r="D44" s="13">
        <v>200</v>
      </c>
      <c r="E44" s="13">
        <v>-0.10061199999999999</v>
      </c>
      <c r="F44" s="13">
        <v>1</v>
      </c>
      <c r="G44" s="9">
        <f t="shared" si="0"/>
        <v>0.45137749355037976</v>
      </c>
      <c r="H44" s="9">
        <f t="shared" si="1"/>
        <v>1</v>
      </c>
      <c r="I44" s="14">
        <v>1</v>
      </c>
      <c r="J44" s="14">
        <v>185</v>
      </c>
      <c r="K44" s="9">
        <f t="shared" si="2"/>
        <v>124.10290178409217</v>
      </c>
      <c r="L44" s="9">
        <f t="shared" si="3"/>
        <v>200</v>
      </c>
      <c r="M44" s="9">
        <f t="shared" si="4"/>
        <v>100</v>
      </c>
      <c r="N44" s="13">
        <v>3291489.36</v>
      </c>
      <c r="O44" s="9">
        <f t="shared" si="5"/>
        <v>608925531.60000002</v>
      </c>
    </row>
    <row r="45" spans="2:15" x14ac:dyDescent="0.2">
      <c r="B45" s="9">
        <v>42</v>
      </c>
      <c r="C45" s="9" t="s">
        <v>62</v>
      </c>
      <c r="D45" s="13">
        <v>200</v>
      </c>
      <c r="E45" s="13">
        <v>5.5596E-2</v>
      </c>
      <c r="F45" s="13">
        <v>0.96094100000000005</v>
      </c>
      <c r="G45" s="9">
        <f t="shared" si="0"/>
        <v>0.67841575524145192</v>
      </c>
      <c r="H45" s="9">
        <f t="shared" si="1"/>
        <v>0.96094096094096093</v>
      </c>
      <c r="I45" s="14">
        <v>1</v>
      </c>
      <c r="J45" s="14">
        <v>200</v>
      </c>
      <c r="K45" s="9">
        <f t="shared" si="2"/>
        <v>158.28516750425109</v>
      </c>
      <c r="L45" s="9">
        <f t="shared" si="3"/>
        <v>200</v>
      </c>
      <c r="M45" s="9">
        <f t="shared" si="4"/>
        <v>100</v>
      </c>
      <c r="N45" s="13">
        <v>3291610.71</v>
      </c>
      <c r="O45" s="9">
        <f t="shared" si="5"/>
        <v>658322142</v>
      </c>
    </row>
    <row r="46" spans="2:15" x14ac:dyDescent="0.2">
      <c r="B46" s="9">
        <v>43</v>
      </c>
      <c r="C46" s="9" t="s">
        <v>63</v>
      </c>
      <c r="D46" s="13">
        <v>200</v>
      </c>
      <c r="E46" s="13">
        <v>-0.112188</v>
      </c>
      <c r="F46" s="13">
        <v>0.79707899999999998</v>
      </c>
      <c r="G46" s="9">
        <f t="shared" si="0"/>
        <v>0.43455252352748808</v>
      </c>
      <c r="H46" s="9">
        <f t="shared" si="1"/>
        <v>0.79707879707879703</v>
      </c>
      <c r="I46" s="14">
        <v>0</v>
      </c>
      <c r="J46" s="14">
        <v>0</v>
      </c>
      <c r="K46" s="9">
        <f t="shared" si="2"/>
        <v>0</v>
      </c>
      <c r="L46" s="9">
        <f t="shared" si="3"/>
        <v>0</v>
      </c>
      <c r="M46" s="9">
        <f t="shared" si="4"/>
        <v>0</v>
      </c>
      <c r="N46" s="13">
        <v>3291493.11</v>
      </c>
      <c r="O46" s="9">
        <f t="shared" si="5"/>
        <v>0</v>
      </c>
    </row>
    <row r="47" spans="2:15" x14ac:dyDescent="0.2">
      <c r="B47" s="9">
        <v>44</v>
      </c>
      <c r="C47" s="9" t="s">
        <v>64</v>
      </c>
      <c r="D47" s="13">
        <v>209</v>
      </c>
      <c r="E47" s="13">
        <v>7.6423000000000005E-2</v>
      </c>
      <c r="F47" s="13">
        <v>1</v>
      </c>
      <c r="G47" s="9">
        <f t="shared" si="0"/>
        <v>0.70868645761418558</v>
      </c>
      <c r="H47" s="9">
        <f t="shared" si="1"/>
        <v>1</v>
      </c>
      <c r="I47" s="14">
        <v>1</v>
      </c>
      <c r="J47" s="14">
        <v>209</v>
      </c>
      <c r="K47" s="9">
        <f t="shared" si="2"/>
        <v>172.46928178481886</v>
      </c>
      <c r="L47" s="9">
        <f t="shared" si="3"/>
        <v>209</v>
      </c>
      <c r="M47" s="9">
        <f t="shared" si="4"/>
        <v>100</v>
      </c>
      <c r="N47" s="13">
        <v>3291489.36</v>
      </c>
      <c r="O47" s="9">
        <f t="shared" si="5"/>
        <v>687921276.24000001</v>
      </c>
    </row>
    <row r="48" spans="2:15" x14ac:dyDescent="0.2">
      <c r="B48" s="9">
        <v>45</v>
      </c>
      <c r="C48" s="9" t="s">
        <v>65</v>
      </c>
      <c r="D48" s="13">
        <v>200</v>
      </c>
      <c r="E48" s="13">
        <v>0.108649</v>
      </c>
      <c r="F48" s="13">
        <v>0.88141000000000003</v>
      </c>
      <c r="G48" s="9">
        <f t="shared" si="0"/>
        <v>0.75552487191599138</v>
      </c>
      <c r="H48" s="9">
        <f t="shared" si="1"/>
        <v>0.88140988140988141</v>
      </c>
      <c r="I48" s="14">
        <v>1</v>
      </c>
      <c r="J48" s="14">
        <v>200</v>
      </c>
      <c r="K48" s="9">
        <f t="shared" si="2"/>
        <v>161.17577514270945</v>
      </c>
      <c r="L48" s="9">
        <f t="shared" si="3"/>
        <v>200</v>
      </c>
      <c r="M48" s="9">
        <f t="shared" si="4"/>
        <v>100</v>
      </c>
      <c r="N48" s="13">
        <v>3291489.36</v>
      </c>
      <c r="O48" s="9">
        <f t="shared" si="5"/>
        <v>658297872</v>
      </c>
    </row>
    <row r="49" spans="2:15" x14ac:dyDescent="0.2">
      <c r="B49" s="9">
        <v>46</v>
      </c>
      <c r="C49" s="9" t="s">
        <v>66</v>
      </c>
      <c r="D49" s="13">
        <v>200</v>
      </c>
      <c r="E49" s="13">
        <v>-0.41117100000000001</v>
      </c>
      <c r="F49" s="13">
        <v>1</v>
      </c>
      <c r="G49" s="9">
        <f t="shared" si="0"/>
        <v>0</v>
      </c>
      <c r="H49" s="9">
        <f t="shared" si="1"/>
        <v>1</v>
      </c>
      <c r="I49" s="14">
        <v>0</v>
      </c>
      <c r="J49" s="14">
        <v>0</v>
      </c>
      <c r="K49" s="9">
        <f t="shared" si="2"/>
        <v>0</v>
      </c>
      <c r="L49" s="9">
        <f t="shared" si="3"/>
        <v>0</v>
      </c>
      <c r="M49" s="9">
        <f t="shared" si="4"/>
        <v>0</v>
      </c>
      <c r="N49" s="13">
        <v>3294156.36</v>
      </c>
      <c r="O49" s="9">
        <f t="shared" si="5"/>
        <v>0</v>
      </c>
    </row>
    <row r="50" spans="2:15" x14ac:dyDescent="0.2">
      <c r="B50" s="9">
        <v>47</v>
      </c>
      <c r="C50" s="9" t="s">
        <v>67</v>
      </c>
      <c r="D50" s="13">
        <v>200</v>
      </c>
      <c r="E50" s="13">
        <v>-0.12347</v>
      </c>
      <c r="F50" s="13">
        <v>9.9999999999999995E-7</v>
      </c>
      <c r="G50" s="9">
        <f t="shared" si="0"/>
        <v>0.41815486355873693</v>
      </c>
      <c r="H50" s="9">
        <f t="shared" si="1"/>
        <v>0</v>
      </c>
      <c r="I50" s="14">
        <v>0</v>
      </c>
      <c r="J50" s="14">
        <v>0</v>
      </c>
      <c r="K50" s="9">
        <f t="shared" si="2"/>
        <v>0</v>
      </c>
      <c r="L50" s="9">
        <f t="shared" si="3"/>
        <v>0</v>
      </c>
      <c r="M50" s="9">
        <f t="shared" si="4"/>
        <v>0</v>
      </c>
      <c r="N50" s="13">
        <v>3291489.36</v>
      </c>
      <c r="O50" s="9">
        <f t="shared" si="5"/>
        <v>0</v>
      </c>
    </row>
    <row r="51" spans="2:15" x14ac:dyDescent="0.2">
      <c r="B51" s="10" t="s">
        <v>91</v>
      </c>
    </row>
    <row r="52" spans="2:15" x14ac:dyDescent="0.2">
      <c r="B52" s="10" t="s">
        <v>92</v>
      </c>
      <c r="D52" s="10">
        <f>SUM(I4:I50)</f>
        <v>26</v>
      </c>
    </row>
    <row r="53" spans="2:15" x14ac:dyDescent="0.2">
      <c r="B53" s="10" t="s">
        <v>93</v>
      </c>
      <c r="D53" s="10">
        <f>SUM(J4:J50)</f>
        <v>6000</v>
      </c>
    </row>
    <row r="54" spans="2:15" x14ac:dyDescent="0.2">
      <c r="B54" s="15" t="s">
        <v>94</v>
      </c>
      <c r="C54" s="16">
        <v>73200000000</v>
      </c>
    </row>
    <row r="55" spans="2:15" x14ac:dyDescent="0.2">
      <c r="B55" s="15" t="s">
        <v>95</v>
      </c>
      <c r="C55" s="16">
        <v>6000</v>
      </c>
    </row>
    <row r="56" spans="2:15" x14ac:dyDescent="0.2">
      <c r="B56" s="15" t="s">
        <v>96</v>
      </c>
      <c r="C56" s="16">
        <v>100</v>
      </c>
    </row>
    <row r="57" spans="2:15" x14ac:dyDescent="0.2">
      <c r="B57" s="15" t="s">
        <v>97</v>
      </c>
      <c r="C57" s="16">
        <v>0.6</v>
      </c>
    </row>
    <row r="58" spans="2:15" x14ac:dyDescent="0.2">
      <c r="B58" s="15" t="s">
        <v>98</v>
      </c>
      <c r="C58" s="16">
        <v>0.4</v>
      </c>
    </row>
    <row r="60" spans="2:15" x14ac:dyDescent="0.2">
      <c r="B60" s="1" t="s">
        <v>99</v>
      </c>
      <c r="C60" s="1"/>
      <c r="D60" s="1"/>
      <c r="E60" s="1"/>
      <c r="F60" s="1"/>
      <c r="G60" s="1"/>
      <c r="H60" s="1"/>
      <c r="I60" s="1"/>
      <c r="J60" s="1"/>
      <c r="K60" s="1"/>
      <c r="L60" s="1"/>
      <c r="M60" s="1"/>
      <c r="N60" s="1"/>
    </row>
    <row r="61" spans="2:15" x14ac:dyDescent="0.2">
      <c r="B61" s="1"/>
      <c r="C61" s="1"/>
      <c r="D61" s="1"/>
      <c r="E61" s="1"/>
      <c r="F61" s="1"/>
      <c r="G61" s="1"/>
      <c r="H61" s="1"/>
      <c r="I61" s="1"/>
      <c r="J61" s="1"/>
      <c r="K61" s="1"/>
      <c r="L61" s="1"/>
      <c r="M61" s="1"/>
      <c r="N61" s="1"/>
    </row>
  </sheetData>
  <mergeCells count="3">
    <mergeCell ref="B1:N1"/>
    <mergeCell ref="Q1:R1"/>
    <mergeCell ref="B60:N6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19"/>
  <sheetViews>
    <sheetView showGridLines="0" topLeftCell="A4" zoomScaleNormal="100" workbookViewId="0">
      <selection activeCell="C4" sqref="C4"/>
    </sheetView>
  </sheetViews>
  <sheetFormatPr baseColWidth="10" defaultColWidth="8.6640625" defaultRowHeight="15" x14ac:dyDescent="0.2"/>
  <cols>
    <col min="1" max="1" width="3" customWidth="1"/>
    <col min="2" max="2" width="34" customWidth="1"/>
    <col min="3" max="3" width="22" customWidth="1"/>
    <col min="4" max="4" width="60" customWidth="1"/>
  </cols>
  <sheetData>
    <row r="1" spans="2:4" ht="17" x14ac:dyDescent="0.2">
      <c r="B1" s="3" t="s">
        <v>100</v>
      </c>
      <c r="C1" s="3"/>
      <c r="D1" s="3"/>
    </row>
    <row r="2" spans="2:4" x14ac:dyDescent="0.2">
      <c r="B2" s="1" t="s">
        <v>101</v>
      </c>
      <c r="C2" s="1"/>
      <c r="D2" s="1"/>
    </row>
    <row r="4" spans="2:4" x14ac:dyDescent="0.2">
      <c r="B4" s="17" t="s">
        <v>102</v>
      </c>
      <c r="C4" s="18" t="s">
        <v>62</v>
      </c>
      <c r="D4" s="19"/>
    </row>
    <row r="5" spans="2:4" x14ac:dyDescent="0.2">
      <c r="B5" s="19"/>
      <c r="C5" s="19"/>
      <c r="D5" s="19"/>
    </row>
    <row r="6" spans="2:4" x14ac:dyDescent="0.2">
      <c r="B6" s="17" t="s">
        <v>103</v>
      </c>
      <c r="C6" s="9">
        <f>INDEX(MILP_Model!$D$4:$D$50,MATCH($C$4,MILP_Model!$C$4:$C$50,0))</f>
        <v>200</v>
      </c>
      <c r="D6" s="20" t="s">
        <v>104</v>
      </c>
    </row>
    <row r="7" spans="2:4" x14ac:dyDescent="0.2">
      <c r="B7" s="17" t="s">
        <v>105</v>
      </c>
      <c r="C7" s="9">
        <f>INDEX(MILP_Model!$E$4:$E$50,MATCH($C$4,MILP_Model!$C$4:$C$50,0))</f>
        <v>5.5596E-2</v>
      </c>
      <c r="D7" s="20" t="s">
        <v>106</v>
      </c>
    </row>
    <row r="8" spans="2:4" x14ac:dyDescent="0.2">
      <c r="B8" s="17" t="s">
        <v>107</v>
      </c>
      <c r="C8" s="9">
        <f>INDEX(MILP_Model!$F$4:$F$50,MATCH($C$4,MILP_Model!$C$4:$C$50,0))</f>
        <v>0.96094100000000005</v>
      </c>
      <c r="D8" s="20" t="s">
        <v>108</v>
      </c>
    </row>
    <row r="9" spans="2:4" x14ac:dyDescent="0.2">
      <c r="B9" s="17" t="s">
        <v>13</v>
      </c>
      <c r="C9" s="9">
        <f>INDEX(MILP_Model!$N$4:$N$50,MATCH($C$4,MILP_Model!$C$4:$C$50,0))</f>
        <v>3291610.71</v>
      </c>
      <c r="D9" s="20" t="s">
        <v>109</v>
      </c>
    </row>
    <row r="10" spans="2:4" x14ac:dyDescent="0.2">
      <c r="B10" s="17" t="s">
        <v>110</v>
      </c>
      <c r="C10" s="9">
        <f>INDEX(MILP_Model!$J$4:$J$50,MATCH($C$4,MILP_Model!$C$4:$C$50,0))</f>
        <v>200</v>
      </c>
      <c r="D10" s="20" t="s">
        <v>111</v>
      </c>
    </row>
    <row r="11" spans="2:4" x14ac:dyDescent="0.2">
      <c r="B11" s="17" t="s">
        <v>112</v>
      </c>
      <c r="C11" s="9" t="str">
        <f>IF(INDEX(MILP_Model!$I$4:$I$50,MATCH($C$4,MILP_Model!$C$4:$C$50,0))=1,"Yes","No")</f>
        <v>Yes</v>
      </c>
      <c r="D11" s="20" t="s">
        <v>113</v>
      </c>
    </row>
    <row r="12" spans="2:4" x14ac:dyDescent="0.2">
      <c r="B12" s="19"/>
      <c r="C12" s="19"/>
      <c r="D12" s="19"/>
    </row>
    <row r="13" spans="2:4" x14ac:dyDescent="0.2">
      <c r="B13" s="17" t="s">
        <v>114</v>
      </c>
      <c r="C13" s="19"/>
      <c r="D13" s="19"/>
    </row>
    <row r="14" spans="2:4" x14ac:dyDescent="0.2">
      <c r="B14" s="17" t="s">
        <v>115</v>
      </c>
      <c r="C14" s="9" t="str">
        <f>IF(C11="No","Not activated",IF(C10&gt;=C6-0.5,"CAPACITY - already at its delivery ceiling; more money/quota would not help without relaxing this",IF(MILP_Model!$R$6&lt;1,"NATIONAL QUOTA - the 6,000-unit national cap is exhausted",IF(MILP_Model!$R$5&lt;C9,"BUDGET - national revenue is exhausted before this county could get more","UNCONSTRAINED - could take more units without hitting a national limit"))))</f>
        <v>CAPACITY - already at its delivery ceiling; more money/quota would not help without relaxing this</v>
      </c>
      <c r="D14" s="19"/>
    </row>
    <row r="15" spans="2:4" x14ac:dyDescent="0.2">
      <c r="B15" s="19"/>
      <c r="C15" s="19"/>
      <c r="D15" s="19"/>
    </row>
    <row r="16" spans="2:4" x14ac:dyDescent="0.2">
      <c r="B16" s="17" t="s">
        <v>116</v>
      </c>
      <c r="C16" s="19"/>
      <c r="D16" s="19"/>
    </row>
    <row r="17" spans="2:4" x14ac:dyDescent="0.2">
      <c r="B17" s="17" t="s">
        <v>117</v>
      </c>
      <c r="C17" s="9">
        <f>C6-C10</f>
        <v>0</v>
      </c>
      <c r="D17" s="20" t="s">
        <v>118</v>
      </c>
    </row>
    <row r="18" spans="2:4" x14ac:dyDescent="0.2">
      <c r="B18" s="17" t="s">
        <v>119</v>
      </c>
      <c r="C18" s="9">
        <f>MIN(C17,FLOOR(MILP_Model!$R$5/C9,1),MILP_Model!$R$6)</f>
        <v>0</v>
      </c>
      <c r="D18" s="20" t="s">
        <v>120</v>
      </c>
    </row>
    <row r="19" spans="2:4" x14ac:dyDescent="0.2">
      <c r="B19" s="17" t="s">
        <v>121</v>
      </c>
      <c r="C19" s="9">
        <f>MIN(C6,FLOOR(MILP_Model!$C$54/C9,1),MILP_Model!$C$55)</f>
        <v>200</v>
      </c>
      <c r="D19" s="20" t="s">
        <v>122</v>
      </c>
    </row>
  </sheetData>
  <mergeCells count="2">
    <mergeCell ref="B1:D1"/>
    <mergeCell ref="B2:D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300-000000000000}">
          <x14:formula1>
            <xm:f>MILP_Model!$C$4:$C$50</xm:f>
          </x14:formula1>
          <x14:formula2>
            <xm:f>0</xm:f>
          </x14:formula2>
          <xm:sqref>C4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Notebook_Reference</vt:lpstr>
      <vt:lpstr>MILP_Model</vt:lpstr>
      <vt:lpstr>County_Spotlight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2026-09-04T07:14:04Z</dcterms:created>
  <dcterms:modified xsi:type="dcterms:W3CDTF">2026-09-04T08:02:00Z</dcterms:modified>
  <dc:language>en-US</dc:language>
</cp:coreProperties>
</file>