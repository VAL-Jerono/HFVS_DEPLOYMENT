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mc:AlternateContent xmlns:mc="http://schemas.openxmlformats.org/markup-compatibility/2006">
    <mc:Choice Requires="x15">
      <x15ac:absPath xmlns:x15ac="http://schemas.microsoft.com/office/spreadsheetml/2010/11/ac" url="/Users/leonida/Documents/code/Accessibility_Holy_Grail/Dissertation/HFVS_DEPLOYMENT/"/>
    </mc:Choice>
  </mc:AlternateContent>
  <xr:revisionPtr revIDLastSave="0" documentId="13_ncr:1_{F904CCE5-9740-EC48-BA1B-6D4C2DA7977D}" xr6:coauthVersionLast="47" xr6:coauthVersionMax="47" xr10:uidLastSave="{00000000-0000-0000-0000-000000000000}"/>
  <bookViews>
    <workbookView xWindow="0" yWindow="500" windowWidth="16380" windowHeight="8200" tabRatio="500" activeTab="4" xr2:uid="{00000000-000D-0000-FFFF-FFFF00000000}"/>
  </bookViews>
  <sheets>
    <sheet name="README" sheetId="1" r:id="rId1"/>
    <sheet name="Notebook_Reference" sheetId="2" r:id="rId2"/>
    <sheet name="Answer Report 1" sheetId="5" r:id="rId3"/>
    <sheet name="MILP_Model" sheetId="3" r:id="rId4"/>
    <sheet name="County_Spotlight" sheetId="4" r:id="rId5"/>
  </sheets>
  <definedNames>
    <definedName name="solver_adj" localSheetId="3" hidden="1">MILP_Model!$I$4:$J$50</definedName>
    <definedName name="solver_cvg" localSheetId="3" hidden="1">0.0001</definedName>
    <definedName name="solver_drv" localSheetId="3" hidden="1">1</definedName>
    <definedName name="solver_eng" localSheetId="4" hidden="1">1</definedName>
    <definedName name="solver_eng" localSheetId="3" hidden="1">2</definedName>
    <definedName name="solver_itr" localSheetId="3" hidden="1">2147483647</definedName>
    <definedName name="solver_lhs1" localSheetId="3" hidden="1">MILP_Model!$I$4:$I$50</definedName>
    <definedName name="solver_lhs2" localSheetId="3" hidden="1">MILP_Model!$J$4:$J$50</definedName>
    <definedName name="solver_lhs3" localSheetId="3" hidden="1">MILP_Model!$J$4:$J$50</definedName>
    <definedName name="solver_lhs4" localSheetId="3" hidden="1">MILP_Model!$J$4:$J$50</definedName>
    <definedName name="solver_lhs5" localSheetId="3" hidden="1">MILP_Model!$R$2</definedName>
    <definedName name="solver_lhs6" localSheetId="3" hidden="1">MILP_Model!$R$3</definedName>
    <definedName name="solver_lhs7" localSheetId="3" hidden="1">MILP_Model!$R$3</definedName>
    <definedName name="solver_lin" localSheetId="4" hidden="1">2</definedName>
    <definedName name="solver_lin" localSheetId="3" hidden="1">1</definedName>
    <definedName name="solver_mip" localSheetId="3" hidden="1">2147483647</definedName>
    <definedName name="solver_mni" localSheetId="3" hidden="1">30</definedName>
    <definedName name="solver_mrt" localSheetId="3" hidden="1">0.075</definedName>
    <definedName name="solver_msl" localSheetId="3" hidden="1">2</definedName>
    <definedName name="solver_neg" localSheetId="4" hidden="1">1</definedName>
    <definedName name="solver_neg" localSheetId="3" hidden="1">1</definedName>
    <definedName name="solver_nod" localSheetId="3" hidden="1">2147483647</definedName>
    <definedName name="solver_num" localSheetId="4" hidden="1">0</definedName>
    <definedName name="solver_num" localSheetId="3" hidden="1">7</definedName>
    <definedName name="solver_opt" localSheetId="4" hidden="1">County_Spotlight!$C$4</definedName>
    <definedName name="solver_opt" localSheetId="3" hidden="1">MILP_Model!$R$4</definedName>
    <definedName name="solver_pre" localSheetId="3" hidden="1">0.000001</definedName>
    <definedName name="solver_rbv" localSheetId="3" hidden="1">1</definedName>
    <definedName name="solver_rel1" localSheetId="3" hidden="1">5</definedName>
    <definedName name="solver_rel2" localSheetId="3" hidden="1">1</definedName>
    <definedName name="solver_rel3" localSheetId="3" hidden="1">4</definedName>
    <definedName name="solver_rel4" localSheetId="3" hidden="1">3</definedName>
    <definedName name="solver_rel5" localSheetId="3" hidden="1">1</definedName>
    <definedName name="solver_rel6" localSheetId="3" hidden="1">1</definedName>
    <definedName name="solver_rel7" localSheetId="3" hidden="1">1</definedName>
    <definedName name="solver_rhs1" localSheetId="3" hidden="1">"binary"</definedName>
    <definedName name="solver_rhs2" localSheetId="3" hidden="1">MILP_Model!$L$4:$L$50</definedName>
    <definedName name="solver_rhs3" localSheetId="3" hidden="1">"integer"</definedName>
    <definedName name="solver_rhs4" localSheetId="3" hidden="1">MILP_Model!$M$4:$M$50</definedName>
    <definedName name="solver_rhs5" localSheetId="3" hidden="1">MILP_Model!$C$54</definedName>
    <definedName name="solver_rhs6" localSheetId="3" hidden="1">MILP_Model!$C$54</definedName>
    <definedName name="solver_rhs7" localSheetId="3" hidden="1">MILP_Model!$C$55</definedName>
    <definedName name="solver_rlx" localSheetId="3" hidden="1">2</definedName>
    <definedName name="solver_rsd" localSheetId="3" hidden="1">0</definedName>
    <definedName name="solver_scl" localSheetId="3" hidden="1">1</definedName>
    <definedName name="solver_sho" localSheetId="3" hidden="1">2</definedName>
    <definedName name="solver_ssz" localSheetId="3" hidden="1">100</definedName>
    <definedName name="solver_tim" localSheetId="3" hidden="1">2147483647</definedName>
    <definedName name="solver_tol" localSheetId="3" hidden="1">0.01</definedName>
    <definedName name="solver_typ" localSheetId="4" hidden="1">1</definedName>
    <definedName name="solver_typ" localSheetId="3" hidden="1">1</definedName>
    <definedName name="solver_val" localSheetId="4" hidden="1">0</definedName>
    <definedName name="solver_val" localSheetId="3" hidden="1">0</definedName>
    <definedName name="solver_ver" localSheetId="4" hidden="1">2</definedName>
    <definedName name="solver_ver" localSheetId="3" hidden="1">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11" i="4" l="1"/>
  <c r="C10" i="4"/>
  <c r="C9" i="4"/>
  <c r="C19" i="4" s="1"/>
  <c r="C8" i="4"/>
  <c r="C7" i="4"/>
  <c r="C6" i="4"/>
  <c r="D53" i="3"/>
  <c r="D52" i="3"/>
  <c r="U50" i="3"/>
  <c r="T50" i="3"/>
  <c r="G50" i="3" s="1"/>
  <c r="K50" i="3" s="1"/>
  <c r="O50" i="3"/>
  <c r="M50" i="3"/>
  <c r="L50" i="3"/>
  <c r="H50" i="3"/>
  <c r="U49" i="3"/>
  <c r="T49" i="3"/>
  <c r="G49" i="3" s="1"/>
  <c r="K49" i="3" s="1"/>
  <c r="O49" i="3"/>
  <c r="M49" i="3"/>
  <c r="L49" i="3"/>
  <c r="H49" i="3"/>
  <c r="U48" i="3"/>
  <c r="T48" i="3"/>
  <c r="G48" i="3" s="1"/>
  <c r="K48" i="3" s="1"/>
  <c r="O48" i="3"/>
  <c r="M48" i="3"/>
  <c r="L48" i="3"/>
  <c r="H48" i="3"/>
  <c r="U47" i="3"/>
  <c r="T47" i="3"/>
  <c r="G47" i="3" s="1"/>
  <c r="K47" i="3" s="1"/>
  <c r="O47" i="3"/>
  <c r="M47" i="3"/>
  <c r="L47" i="3"/>
  <c r="H47" i="3"/>
  <c r="U46" i="3"/>
  <c r="T46" i="3"/>
  <c r="G46" i="3" s="1"/>
  <c r="K46" i="3" s="1"/>
  <c r="O46" i="3"/>
  <c r="M46" i="3"/>
  <c r="L46" i="3"/>
  <c r="H46" i="3"/>
  <c r="U45" i="3"/>
  <c r="T45" i="3"/>
  <c r="G45" i="3" s="1"/>
  <c r="K45" i="3" s="1"/>
  <c r="O45" i="3"/>
  <c r="M45" i="3"/>
  <c r="L45" i="3"/>
  <c r="H45" i="3"/>
  <c r="U44" i="3"/>
  <c r="T44" i="3"/>
  <c r="G44" i="3" s="1"/>
  <c r="K44" i="3" s="1"/>
  <c r="O44" i="3"/>
  <c r="M44" i="3"/>
  <c r="L44" i="3"/>
  <c r="H44" i="3"/>
  <c r="U43" i="3"/>
  <c r="T43" i="3"/>
  <c r="G43" i="3" s="1"/>
  <c r="K43" i="3" s="1"/>
  <c r="O43" i="3"/>
  <c r="M43" i="3"/>
  <c r="L43" i="3"/>
  <c r="H43" i="3"/>
  <c r="U42" i="3"/>
  <c r="T42" i="3"/>
  <c r="G42" i="3" s="1"/>
  <c r="K42" i="3" s="1"/>
  <c r="O42" i="3"/>
  <c r="M42" i="3"/>
  <c r="L42" i="3"/>
  <c r="H42" i="3"/>
  <c r="U41" i="3"/>
  <c r="T41" i="3"/>
  <c r="G41" i="3" s="1"/>
  <c r="K41" i="3" s="1"/>
  <c r="O41" i="3"/>
  <c r="M41" i="3"/>
  <c r="L41" i="3"/>
  <c r="H41" i="3"/>
  <c r="U40" i="3"/>
  <c r="T40" i="3"/>
  <c r="G40" i="3" s="1"/>
  <c r="K40" i="3" s="1"/>
  <c r="O40" i="3"/>
  <c r="M40" i="3"/>
  <c r="L40" i="3"/>
  <c r="H40" i="3"/>
  <c r="U39" i="3"/>
  <c r="T39" i="3"/>
  <c r="G39" i="3" s="1"/>
  <c r="K39" i="3" s="1"/>
  <c r="O39" i="3"/>
  <c r="M39" i="3"/>
  <c r="L39" i="3"/>
  <c r="H39" i="3"/>
  <c r="U38" i="3"/>
  <c r="T38" i="3"/>
  <c r="G38" i="3" s="1"/>
  <c r="K38" i="3" s="1"/>
  <c r="O38" i="3"/>
  <c r="M38" i="3"/>
  <c r="L38" i="3"/>
  <c r="H38" i="3"/>
  <c r="U37" i="3"/>
  <c r="T37" i="3"/>
  <c r="G37" i="3" s="1"/>
  <c r="K37" i="3" s="1"/>
  <c r="O37" i="3"/>
  <c r="M37" i="3"/>
  <c r="L37" i="3"/>
  <c r="H37" i="3"/>
  <c r="U36" i="3"/>
  <c r="T36" i="3"/>
  <c r="G36" i="3" s="1"/>
  <c r="K36" i="3" s="1"/>
  <c r="O36" i="3"/>
  <c r="M36" i="3"/>
  <c r="L36" i="3"/>
  <c r="H36" i="3"/>
  <c r="U35" i="3"/>
  <c r="T35" i="3"/>
  <c r="G35" i="3" s="1"/>
  <c r="K35" i="3" s="1"/>
  <c r="O35" i="3"/>
  <c r="M35" i="3"/>
  <c r="L35" i="3"/>
  <c r="H35" i="3"/>
  <c r="U34" i="3"/>
  <c r="T34" i="3"/>
  <c r="G34" i="3" s="1"/>
  <c r="K34" i="3" s="1"/>
  <c r="O34" i="3"/>
  <c r="M34" i="3"/>
  <c r="L34" i="3"/>
  <c r="H34" i="3"/>
  <c r="U33" i="3"/>
  <c r="T33" i="3"/>
  <c r="G33" i="3" s="1"/>
  <c r="K33" i="3" s="1"/>
  <c r="O33" i="3"/>
  <c r="M33" i="3"/>
  <c r="L33" i="3"/>
  <c r="H33" i="3"/>
  <c r="U32" i="3"/>
  <c r="T32" i="3"/>
  <c r="G32" i="3" s="1"/>
  <c r="K32" i="3" s="1"/>
  <c r="O32" i="3"/>
  <c r="M32" i="3"/>
  <c r="L32" i="3"/>
  <c r="H32" i="3"/>
  <c r="U31" i="3"/>
  <c r="T31" i="3"/>
  <c r="G31" i="3" s="1"/>
  <c r="K31" i="3" s="1"/>
  <c r="O31" i="3"/>
  <c r="M31" i="3"/>
  <c r="L31" i="3"/>
  <c r="H31" i="3"/>
  <c r="U30" i="3"/>
  <c r="T30" i="3"/>
  <c r="G30" i="3" s="1"/>
  <c r="K30" i="3" s="1"/>
  <c r="O30" i="3"/>
  <c r="M30" i="3"/>
  <c r="L30" i="3"/>
  <c r="H30" i="3"/>
  <c r="U29" i="3"/>
  <c r="T29" i="3"/>
  <c r="G29" i="3" s="1"/>
  <c r="K29" i="3" s="1"/>
  <c r="O29" i="3"/>
  <c r="M29" i="3"/>
  <c r="L29" i="3"/>
  <c r="H29" i="3"/>
  <c r="U28" i="3"/>
  <c r="T28" i="3"/>
  <c r="G28" i="3" s="1"/>
  <c r="K28" i="3" s="1"/>
  <c r="O28" i="3"/>
  <c r="M28" i="3"/>
  <c r="L28" i="3"/>
  <c r="H28" i="3"/>
  <c r="U27" i="3"/>
  <c r="T27" i="3"/>
  <c r="G27" i="3" s="1"/>
  <c r="K27" i="3" s="1"/>
  <c r="O27" i="3"/>
  <c r="M27" i="3"/>
  <c r="L27" i="3"/>
  <c r="H27" i="3"/>
  <c r="U26" i="3"/>
  <c r="T26" i="3"/>
  <c r="G26" i="3" s="1"/>
  <c r="K26" i="3" s="1"/>
  <c r="O26" i="3"/>
  <c r="M26" i="3"/>
  <c r="L26" i="3"/>
  <c r="H26" i="3"/>
  <c r="U25" i="3"/>
  <c r="T25" i="3"/>
  <c r="G25" i="3" s="1"/>
  <c r="K25" i="3" s="1"/>
  <c r="O25" i="3"/>
  <c r="M25" i="3"/>
  <c r="L25" i="3"/>
  <c r="H25" i="3"/>
  <c r="U24" i="3"/>
  <c r="T24" i="3"/>
  <c r="G24" i="3" s="1"/>
  <c r="K24" i="3" s="1"/>
  <c r="O24" i="3"/>
  <c r="M24" i="3"/>
  <c r="L24" i="3"/>
  <c r="H24" i="3"/>
  <c r="U23" i="3"/>
  <c r="T23" i="3"/>
  <c r="G23" i="3" s="1"/>
  <c r="K23" i="3" s="1"/>
  <c r="O23" i="3"/>
  <c r="M23" i="3"/>
  <c r="L23" i="3"/>
  <c r="H23" i="3"/>
  <c r="U22" i="3"/>
  <c r="T22" i="3"/>
  <c r="G22" i="3" s="1"/>
  <c r="K22" i="3" s="1"/>
  <c r="O22" i="3"/>
  <c r="M22" i="3"/>
  <c r="L22" i="3"/>
  <c r="H22" i="3"/>
  <c r="U21" i="3"/>
  <c r="T21" i="3"/>
  <c r="G21" i="3" s="1"/>
  <c r="K21" i="3" s="1"/>
  <c r="O21" i="3"/>
  <c r="M21" i="3"/>
  <c r="L21" i="3"/>
  <c r="H21" i="3"/>
  <c r="U20" i="3"/>
  <c r="T20" i="3"/>
  <c r="G20" i="3" s="1"/>
  <c r="K20" i="3" s="1"/>
  <c r="O20" i="3"/>
  <c r="M20" i="3"/>
  <c r="L20" i="3"/>
  <c r="H20" i="3"/>
  <c r="U19" i="3"/>
  <c r="T19" i="3"/>
  <c r="G19" i="3" s="1"/>
  <c r="K19" i="3" s="1"/>
  <c r="O19" i="3"/>
  <c r="M19" i="3"/>
  <c r="L19" i="3"/>
  <c r="H19" i="3"/>
  <c r="U18" i="3"/>
  <c r="T18" i="3"/>
  <c r="G18" i="3" s="1"/>
  <c r="K18" i="3" s="1"/>
  <c r="O18" i="3"/>
  <c r="M18" i="3"/>
  <c r="L18" i="3"/>
  <c r="H18" i="3"/>
  <c r="U17" i="3"/>
  <c r="T17" i="3"/>
  <c r="G17" i="3" s="1"/>
  <c r="K17" i="3" s="1"/>
  <c r="O17" i="3"/>
  <c r="M17" i="3"/>
  <c r="L17" i="3"/>
  <c r="H17" i="3"/>
  <c r="U16" i="3"/>
  <c r="T16" i="3"/>
  <c r="G16" i="3" s="1"/>
  <c r="K16" i="3" s="1"/>
  <c r="O16" i="3"/>
  <c r="M16" i="3"/>
  <c r="L16" i="3"/>
  <c r="H16" i="3"/>
  <c r="U15" i="3"/>
  <c r="T15" i="3"/>
  <c r="G15" i="3" s="1"/>
  <c r="K15" i="3" s="1"/>
  <c r="O15" i="3"/>
  <c r="M15" i="3"/>
  <c r="L15" i="3"/>
  <c r="H15" i="3"/>
  <c r="U14" i="3"/>
  <c r="T14" i="3"/>
  <c r="G14" i="3" s="1"/>
  <c r="K14" i="3" s="1"/>
  <c r="O14" i="3"/>
  <c r="M14" i="3"/>
  <c r="L14" i="3"/>
  <c r="H14" i="3"/>
  <c r="U13" i="3"/>
  <c r="T13" i="3"/>
  <c r="G13" i="3" s="1"/>
  <c r="K13" i="3" s="1"/>
  <c r="O13" i="3"/>
  <c r="M13" i="3"/>
  <c r="L13" i="3"/>
  <c r="H13" i="3"/>
  <c r="U12" i="3"/>
  <c r="T12" i="3"/>
  <c r="G12" i="3" s="1"/>
  <c r="K12" i="3" s="1"/>
  <c r="O12" i="3"/>
  <c r="M12" i="3"/>
  <c r="L12" i="3"/>
  <c r="H12" i="3"/>
  <c r="U11" i="3"/>
  <c r="T11" i="3"/>
  <c r="G11" i="3" s="1"/>
  <c r="K11" i="3" s="1"/>
  <c r="O11" i="3"/>
  <c r="M11" i="3"/>
  <c r="L11" i="3"/>
  <c r="H11" i="3"/>
  <c r="U10" i="3"/>
  <c r="T10" i="3"/>
  <c r="G10" i="3" s="1"/>
  <c r="K10" i="3" s="1"/>
  <c r="O10" i="3"/>
  <c r="M10" i="3"/>
  <c r="L10" i="3"/>
  <c r="H10" i="3"/>
  <c r="U9" i="3"/>
  <c r="T9" i="3"/>
  <c r="G9" i="3" s="1"/>
  <c r="K9" i="3" s="1"/>
  <c r="O9" i="3"/>
  <c r="M9" i="3"/>
  <c r="L9" i="3"/>
  <c r="H9" i="3"/>
  <c r="U8" i="3"/>
  <c r="T8" i="3"/>
  <c r="G8" i="3" s="1"/>
  <c r="K8" i="3" s="1"/>
  <c r="O8" i="3"/>
  <c r="M8" i="3"/>
  <c r="L8" i="3"/>
  <c r="H8" i="3"/>
  <c r="U7" i="3"/>
  <c r="T7" i="3"/>
  <c r="G7" i="3" s="1"/>
  <c r="K7" i="3" s="1"/>
  <c r="O7" i="3"/>
  <c r="M7" i="3"/>
  <c r="L7" i="3"/>
  <c r="H7" i="3"/>
  <c r="U6" i="3"/>
  <c r="T6" i="3"/>
  <c r="G6" i="3" s="1"/>
  <c r="K6" i="3" s="1"/>
  <c r="O6" i="3"/>
  <c r="M6" i="3"/>
  <c r="L6" i="3"/>
  <c r="H6" i="3"/>
  <c r="U5" i="3"/>
  <c r="T5" i="3"/>
  <c r="G5" i="3" s="1"/>
  <c r="K5" i="3" s="1"/>
  <c r="O5" i="3"/>
  <c r="M5" i="3"/>
  <c r="L5" i="3"/>
  <c r="H5" i="3"/>
  <c r="U4" i="3"/>
  <c r="T4" i="3"/>
  <c r="O4" i="3"/>
  <c r="M4" i="3"/>
  <c r="L4" i="3"/>
  <c r="H4" i="3"/>
  <c r="R3" i="3"/>
  <c r="R6" i="3" s="1"/>
  <c r="C17" i="4" l="1"/>
  <c r="R2" i="3"/>
  <c r="R5" i="3" s="1"/>
  <c r="C18" i="4" s="1"/>
  <c r="D62" i="3"/>
  <c r="G4" i="3"/>
  <c r="K4" i="3" s="1"/>
  <c r="R4" i="3" s="1"/>
  <c r="C14" i="4" l="1"/>
</calcChain>
</file>

<file path=xl/sharedStrings.xml><?xml version="1.0" encoding="utf-8"?>
<sst xmlns="http://schemas.openxmlformats.org/spreadsheetml/2006/main" count="974" uniqueCount="447">
  <si>
    <t>HFVS -&gt; SBM-DEA -&gt; MILP: Excel Solver Replica ( County Spotlight added)</t>
  </si>
  <si>
    <t>Sheets in this workbook</t>
  </si>
  <si>
    <t>MILP_Model - the model itself: 47 real counties, Solver-ready.</t>
  </si>
  <si>
    <t>County_Spotlight - pick any one county from a dropdown and see three numbers for it: its solved allocation, how much MORE it could absorb right now without touching any other county's allocation, and its absolute ceiling if it had the entire budget and quota to itself. This directly answers 'what does the model imply for county X specifically'.</t>
  </si>
  <si>
    <t>Notebook_Reference - your original notebook's printed Regime A/B numbers, kept ONLY as a fixed reference to compare Solver's result against. No formula anywhere in this workbook reads from this sheet - it is not part of the model, just a printed record for your own checking. (This is deliberately identical-looking to some columns on MILP_Model - that is intentional, not a duplication bug: one sheet is the live model, this one is a frozen answer key.)</t>
  </si>
  <si>
    <t>How to run it</t>
  </si>
  <si>
    <t>1. Enable Solver once: File &gt; Options &gt; Add-ins &gt; 'Manage: Excel Add-ins' &gt; Go &gt; tick 'Solver Add-in' &gt; OK.</t>
  </si>
  <si>
    <t>2. Open MILP_Model. Data &gt; Solver. Set Objective $R$4 to Max (NOT $R$3 - that is Total units, a different cell). By Changing Variable Cells $I$4:$J$50. Add constraints: $R$2&lt;=$C$54 (budget, NOT $R$1 which is blank), $R$3&lt;=$C$55 (quota, NOT $R$2), $J$4:$J$50&lt;=$L$4:$L$50 (capacity), $J$4:$J$50&gt;=$M$4:$M$50 (floor), $I$4:$I$50=binary, $J$4:$J$50=integer. Solving method: Simplex LP. Solve, Keep Solution. The sheet already ships pre-loaded with this exact solution (see column U for the live audit check), so re-solving should reproduce it unchanged.</t>
  </si>
  <si>
    <t>3. Then open County_Spotlight, pick a county from the dropdown in C3, and read its result.</t>
  </si>
  <si>
    <t>FROZEN REFERENCE ONLY - your notebook's own printed Regime A/B output. Nothing on this sheet feeds any formula elsewhere in this workbook.</t>
  </si>
  <si>
    <t>county_name</t>
  </si>
  <si>
    <t>umax_units</t>
  </si>
  <si>
    <t>mean_hfvs</t>
  </si>
  <si>
    <t>rho_sbm_bc</t>
  </si>
  <si>
    <t>unit_cost_ksh</t>
  </si>
  <si>
    <t>units_A</t>
  </si>
  <si>
    <t>binding_A</t>
  </si>
  <si>
    <t>units_B</t>
  </si>
  <si>
    <t>binding_B</t>
  </si>
  <si>
    <t>Baringo</t>
  </si>
  <si>
    <t>Not activated</t>
  </si>
  <si>
    <t>National quota</t>
  </si>
  <si>
    <t>Bomet</t>
  </si>
  <si>
    <t>Capacity</t>
  </si>
  <si>
    <t>Bungoma</t>
  </si>
  <si>
    <t>Busia</t>
  </si>
  <si>
    <t>Elgeyo-Marakwet</t>
  </si>
  <si>
    <t>Embu</t>
  </si>
  <si>
    <t>Garissa</t>
  </si>
  <si>
    <t>Homa Bay</t>
  </si>
  <si>
    <t>Isiolo</t>
  </si>
  <si>
    <t>Kajiado</t>
  </si>
  <si>
    <t>Kakamega</t>
  </si>
  <si>
    <t>Kericho</t>
  </si>
  <si>
    <t>Kiambu</t>
  </si>
  <si>
    <t>Kilifi</t>
  </si>
  <si>
    <t>Kirinyaga</t>
  </si>
  <si>
    <t>Kisii</t>
  </si>
  <si>
    <t>Kisumu</t>
  </si>
  <si>
    <t>Kitui</t>
  </si>
  <si>
    <t>Kwale</t>
  </si>
  <si>
    <t>Laikipia</t>
  </si>
  <si>
    <t>Lamu</t>
  </si>
  <si>
    <t>Machakos</t>
  </si>
  <si>
    <t>Makueni</t>
  </si>
  <si>
    <t>Mandera</t>
  </si>
  <si>
    <t>Marsabit</t>
  </si>
  <si>
    <t>Meru</t>
  </si>
  <si>
    <t>Migori</t>
  </si>
  <si>
    <t>Mombasa</t>
  </si>
  <si>
    <t>Murang'a</t>
  </si>
  <si>
    <t>Nairobi</t>
  </si>
  <si>
    <t>Nakuru</t>
  </si>
  <si>
    <t>Nandi</t>
  </si>
  <si>
    <t>Narok</t>
  </si>
  <si>
    <t>Nyamira</t>
  </si>
  <si>
    <t>Nyandarua</t>
  </si>
  <si>
    <t>Nyeri</t>
  </si>
  <si>
    <t>Samburu</t>
  </si>
  <si>
    <t>Siaya</t>
  </si>
  <si>
    <t>Taita-Taveta</t>
  </si>
  <si>
    <t>Tana River</t>
  </si>
  <si>
    <t>Tharaka-Nithi</t>
  </si>
  <si>
    <t>Trans Nzoia</t>
  </si>
  <si>
    <t>Turkana</t>
  </si>
  <si>
    <t>Uasin Gishu</t>
  </si>
  <si>
    <t>Vihiga</t>
  </si>
  <si>
    <t>Wajir</t>
  </si>
  <si>
    <t>West Pokot</t>
  </si>
  <si>
    <t>TOTAL units_A (notebook Regime A): 6000</t>
  </si>
  <si>
    <t>TOTAL cost_A (KSh): 19,750,934,482</t>
  </si>
  <si>
    <t>Tier-3 MILP: Kenya Housing Levy Unit Allocation - Regime A (real county data)</t>
  </si>
  <si>
    <t>SOLVER RESULTS BOX</t>
  </si>
  <si>
    <t>Total cost (KSh)</t>
  </si>
  <si>
    <t>#</t>
  </si>
  <si>
    <t>County</t>
  </si>
  <si>
    <t>cap_c
(umax_units, REAL)</t>
  </si>
  <si>
    <t>mean_hfvs
(REAL)</t>
  </si>
  <si>
    <t>rho_sbm_bc
(REAL)</t>
  </si>
  <si>
    <t>gap_norm
(population-weighted, 0-1, formula)</t>
  </si>
  <si>
    <t>eff_norm
(0-1, formula)</t>
  </si>
  <si>
    <t>x_c
SOLVER</t>
  </si>
  <si>
    <t>u_c
SOLVER</t>
  </si>
  <si>
    <t>weight * u_c
(objective term)</t>
  </si>
  <si>
    <t>cap check
u_c&lt;=cap*x_c</t>
  </si>
  <si>
    <t>floor check
u_c&gt;=100*x_c</t>
  </si>
  <si>
    <t>unit_cost_ksh
(REAL, per county)</t>
  </si>
  <si>
    <t>cost_c (KSh)</t>
  </si>
  <si>
    <t>Total units</t>
  </si>
  <si>
    <t>population_2026_est
(KNBS 2019 census x 2.28%/yr, REAL)</t>
  </si>
  <si>
    <t>vulnerable_population_2026
(pop x norm(mean_hfvs), formula)</t>
  </si>
  <si>
    <t>Matches deployed
Regime A? (audit)</t>
  </si>
  <si>
    <t>OBJECTIVE (maximise)</t>
  </si>
  <si>
    <t>Budget slack (KSh)</t>
  </si>
  <si>
    <t>Quota slack (units)</t>
  </si>
  <si>
    <t>TOTALS</t>
  </si>
  <si>
    <t>Counties active (sum of x_c):</t>
  </si>
  <si>
    <t>Total units allocated (sum of u_c):</t>
  </si>
  <si>
    <t>TOTAL_BUDGET_KSH</t>
  </si>
  <si>
    <t>NATIONAL_UNIT_QUOTA (delivery-constrained)</t>
  </si>
  <si>
    <t>UMIN_UNITS (activation floor)</t>
  </si>
  <si>
    <t>VULNERABILITY_WT</t>
  </si>
  <si>
    <t>EFFICIENCY_WT</t>
  </si>
  <si>
    <t>Column key: D=cap_c | E=mean_hfvs (REAL, per-household composite) | F=rho_sbm_bc (REAL) | G=gap_norm, population-weighted (formula, see S,T) | H=eff_norm (formula) | I=x_c, J=u_c (SOLVER cells, yellow) | K=objective contribution | L,M=constraint checks | N=unit_cost_ksh (REAL) | O=cost_c (formula, FIXED: was double-counted via N) | S=population_2026_est (REAL) | T=vulnerable_population_2026 = S x norm(E) | U=per-county audit check against Notebook_Reference. Solver's objective cell is $R$4; budget total is $R$2 (FIXED); unit total is $R$3.</t>
  </si>
  <si>
    <t>Validation vs deployed Regime A (Notebook_Reference sheet):</t>
  </si>
  <si>
    <t>County Spotlight - what the model implies for one county</t>
  </si>
  <si>
    <t>Run Solver on MILP_Model first, then pick a county below. Every number here updates from that solved sheet - nothing here needs Solver run again. REVISED: MILP_Model's gap_norm is now population-weighted (matches the notebook exactly), so the figures below now agree with the deployed dashboard/notebook Regime A result.</t>
  </si>
  <si>
    <t>Select county:</t>
  </si>
  <si>
    <t>cap_c (delivery-capacity ceiling)</t>
  </si>
  <si>
    <t>The independently-sourced ceiling on how many units this county can plausibly deliver in a year.</t>
  </si>
  <si>
    <t>mean_hfvs (vulnerability)</t>
  </si>
  <si>
    <t>This county's mean household financial vulnerability score.</t>
  </si>
  <si>
    <t>rho_sbm_bc (efficiency)</t>
  </si>
  <si>
    <t>This county's bias-corrected SBM efficiency score (1.0 = frontier).</t>
  </si>
  <si>
    <t>This county's real, land-price-adjusted cost per unit.</t>
  </si>
  <si>
    <t>SOLVED allocation (u_c)</t>
  </si>
  <si>
    <t>What Solver actually gave this county, given every other county's allocation.</t>
  </si>
  <si>
    <t>Activated? (x_c)</t>
  </si>
  <si>
    <t>Whether the county was funded at all under Regime A.</t>
  </si>
  <si>
    <t>WHY (binding constraint)</t>
  </si>
  <si>
    <t>Binding constraint for this county:</t>
  </si>
  <si>
    <t>WHAT WOULD UNLOCK MORE FOR THIS COUNTY</t>
  </si>
  <si>
    <t>Room left in its OWN capacity ceiling:</t>
  </si>
  <si>
    <t>cap_c minus its current solved allocation.</t>
  </si>
  <si>
    <t>Extra units it could absorb RIGHT NOW,</t>
  </si>
  <si>
    <t>without touching any other county's allocation - the smallest of (a) its own remaining capacity headroom, (b) what today's leftover national budget can still buy at this county's unit cost, (c) what's left of the national quota.</t>
  </si>
  <si>
    <t>Absolute ceiling in isolation</t>
  </si>
  <si>
    <t>If this county got the ENTIRE national budget and quota to itself with no other county funded - shows whether it is fundamentally capacity-capped regardless of money (if this number equals cap_c, capacity is the real ceiling for this county no matter how the levy is allocated).</t>
  </si>
  <si>
    <t>Microsoft Excel 16.78 Answer Report</t>
  </si>
  <si>
    <t>Worksheet: [HFVS_MILP_Excel_Solver.xlsx]MILP_Model</t>
  </si>
  <si>
    <t>Report Created: 04/09/2026 11:46:43</t>
  </si>
  <si>
    <t>Result: Solver found a solution.  All constraints and optimality conditions are satisfied.</t>
  </si>
  <si>
    <t>Solver Engine</t>
  </si>
  <si>
    <t>Engine: Simplex LP</t>
  </si>
  <si>
    <t>Solution Time: 2873.18 Seconds.</t>
  </si>
  <si>
    <t>Iterations: 1 Subproblems: 2</t>
  </si>
  <si>
    <t>Solver Options</t>
  </si>
  <si>
    <t>Max Time Unlimited, Iterations Unlimited, Precision 0.000001, Use Automatic Scaling</t>
  </si>
  <si>
    <t>Max Subproblems Unlimited, Max Integer Sols Unlimited, Integer Tolerance 1%, Assume NonNegative</t>
  </si>
  <si>
    <t>Objective Cell (Max)</t>
  </si>
  <si>
    <t>Cell</t>
  </si>
  <si>
    <t>Name</t>
  </si>
  <si>
    <t>Original Value</t>
  </si>
  <si>
    <t>Final Value</t>
  </si>
  <si>
    <t>Variable Cells</t>
  </si>
  <si>
    <t>Integer</t>
  </si>
  <si>
    <t>Constraints</t>
  </si>
  <si>
    <t>Cell Value</t>
  </si>
  <si>
    <t>Formula</t>
  </si>
  <si>
    <t>Status</t>
  </si>
  <si>
    <t>Slack</t>
  </si>
  <si>
    <t>$R$4</t>
  </si>
  <si>
    <t>$I$4</t>
  </si>
  <si>
    <t>Baringo x_c
SOLVER</t>
  </si>
  <si>
    <t>$J$4</t>
  </si>
  <si>
    <t>Baringo u_c
SOLVER</t>
  </si>
  <si>
    <t>$I$5</t>
  </si>
  <si>
    <t>Bomet x_c
SOLVER</t>
  </si>
  <si>
    <t>$J$5</t>
  </si>
  <si>
    <t>Bomet u_c
SOLVER</t>
  </si>
  <si>
    <t>$I$6</t>
  </si>
  <si>
    <t>Bungoma x_c
SOLVER</t>
  </si>
  <si>
    <t>$J$6</t>
  </si>
  <si>
    <t>Bungoma u_c
SOLVER</t>
  </si>
  <si>
    <t>$I$7</t>
  </si>
  <si>
    <t>Busia x_c
SOLVER</t>
  </si>
  <si>
    <t>$J$7</t>
  </si>
  <si>
    <t>Busia u_c
SOLVER</t>
  </si>
  <si>
    <t>$I$8</t>
  </si>
  <si>
    <t>Elgeyo-Marakwet x_c
SOLVER</t>
  </si>
  <si>
    <t>$J$8</t>
  </si>
  <si>
    <t>Elgeyo-Marakwet u_c
SOLVER</t>
  </si>
  <si>
    <t>$I$9</t>
  </si>
  <si>
    <t>Embu x_c
SOLVER</t>
  </si>
  <si>
    <t>$J$9</t>
  </si>
  <si>
    <t>Embu u_c
SOLVER</t>
  </si>
  <si>
    <t>$I$10</t>
  </si>
  <si>
    <t>Garissa x_c
SOLVER</t>
  </si>
  <si>
    <t>$J$10</t>
  </si>
  <si>
    <t>Garissa u_c
SOLVER</t>
  </si>
  <si>
    <t>$I$11</t>
  </si>
  <si>
    <t>Homa Bay x_c
SOLVER</t>
  </si>
  <si>
    <t>$J$11</t>
  </si>
  <si>
    <t>Homa Bay u_c
SOLVER</t>
  </si>
  <si>
    <t>$I$12</t>
  </si>
  <si>
    <t>Isiolo x_c
SOLVER</t>
  </si>
  <si>
    <t>$J$12</t>
  </si>
  <si>
    <t>Isiolo u_c
SOLVER</t>
  </si>
  <si>
    <t>$I$13</t>
  </si>
  <si>
    <t>Kajiado x_c
SOLVER</t>
  </si>
  <si>
    <t>$J$13</t>
  </si>
  <si>
    <t>Kajiado u_c
SOLVER</t>
  </si>
  <si>
    <t>$I$14</t>
  </si>
  <si>
    <t>Kakamega x_c
SOLVER</t>
  </si>
  <si>
    <t>$J$14</t>
  </si>
  <si>
    <t>Kakamega u_c
SOLVER</t>
  </si>
  <si>
    <t>$I$15</t>
  </si>
  <si>
    <t>Kericho x_c
SOLVER</t>
  </si>
  <si>
    <t>$J$15</t>
  </si>
  <si>
    <t>Kericho u_c
SOLVER</t>
  </si>
  <si>
    <t>$I$16</t>
  </si>
  <si>
    <t>Kiambu x_c
SOLVER</t>
  </si>
  <si>
    <t>$J$16</t>
  </si>
  <si>
    <t>Kiambu u_c
SOLVER</t>
  </si>
  <si>
    <t>$I$17</t>
  </si>
  <si>
    <t>Kilifi x_c
SOLVER</t>
  </si>
  <si>
    <t>$J$17</t>
  </si>
  <si>
    <t>Kilifi u_c
SOLVER</t>
  </si>
  <si>
    <t>$I$18</t>
  </si>
  <si>
    <t>Kirinyaga x_c
SOLVER</t>
  </si>
  <si>
    <t>$J$18</t>
  </si>
  <si>
    <t>Kirinyaga u_c
SOLVER</t>
  </si>
  <si>
    <t>$I$19</t>
  </si>
  <si>
    <t>Kisii x_c
SOLVER</t>
  </si>
  <si>
    <t>$J$19</t>
  </si>
  <si>
    <t>Kisii u_c
SOLVER</t>
  </si>
  <si>
    <t>$I$20</t>
  </si>
  <si>
    <t>Kisumu x_c
SOLVER</t>
  </si>
  <si>
    <t>$J$20</t>
  </si>
  <si>
    <t>Kisumu u_c
SOLVER</t>
  </si>
  <si>
    <t>$I$21</t>
  </si>
  <si>
    <t>Kitui x_c
SOLVER</t>
  </si>
  <si>
    <t>$J$21</t>
  </si>
  <si>
    <t>Kitui u_c
SOLVER</t>
  </si>
  <si>
    <t>$I$22</t>
  </si>
  <si>
    <t>Kwale x_c
SOLVER</t>
  </si>
  <si>
    <t>$J$22</t>
  </si>
  <si>
    <t>Kwale u_c
SOLVER</t>
  </si>
  <si>
    <t>$I$23</t>
  </si>
  <si>
    <t>Laikipia x_c
SOLVER</t>
  </si>
  <si>
    <t>$J$23</t>
  </si>
  <si>
    <t>Laikipia u_c
SOLVER</t>
  </si>
  <si>
    <t>$I$24</t>
  </si>
  <si>
    <t>Lamu x_c
SOLVER</t>
  </si>
  <si>
    <t>$J$24</t>
  </si>
  <si>
    <t>Lamu u_c
SOLVER</t>
  </si>
  <si>
    <t>$I$25</t>
  </si>
  <si>
    <t>Machakos x_c
SOLVER</t>
  </si>
  <si>
    <t>$J$25</t>
  </si>
  <si>
    <t>Machakos u_c
SOLVER</t>
  </si>
  <si>
    <t>$I$26</t>
  </si>
  <si>
    <t>Makueni x_c
SOLVER</t>
  </si>
  <si>
    <t>$J$26</t>
  </si>
  <si>
    <t>Makueni u_c
SOLVER</t>
  </si>
  <si>
    <t>$I$27</t>
  </si>
  <si>
    <t>Mandera x_c
SOLVER</t>
  </si>
  <si>
    <t>$J$27</t>
  </si>
  <si>
    <t>Mandera u_c
SOLVER</t>
  </si>
  <si>
    <t>$I$28</t>
  </si>
  <si>
    <t>Marsabit x_c
SOLVER</t>
  </si>
  <si>
    <t>$J$28</t>
  </si>
  <si>
    <t>Marsabit u_c
SOLVER</t>
  </si>
  <si>
    <t>$I$29</t>
  </si>
  <si>
    <t>Meru x_c
SOLVER</t>
  </si>
  <si>
    <t>$J$29</t>
  </si>
  <si>
    <t>Meru u_c
SOLVER</t>
  </si>
  <si>
    <t>$I$30</t>
  </si>
  <si>
    <t>Migori x_c
SOLVER</t>
  </si>
  <si>
    <t>$J$30</t>
  </si>
  <si>
    <t>Migori u_c
SOLVER</t>
  </si>
  <si>
    <t>$I$31</t>
  </si>
  <si>
    <t>Mombasa x_c
SOLVER</t>
  </si>
  <si>
    <t>$J$31</t>
  </si>
  <si>
    <t>Mombasa u_c
SOLVER</t>
  </si>
  <si>
    <t>$I$32</t>
  </si>
  <si>
    <t>Murang'a x_c
SOLVER</t>
  </si>
  <si>
    <t>$J$32</t>
  </si>
  <si>
    <t>Murang'a u_c
SOLVER</t>
  </si>
  <si>
    <t>$I$33</t>
  </si>
  <si>
    <t>Nairobi x_c
SOLVER</t>
  </si>
  <si>
    <t>$J$33</t>
  </si>
  <si>
    <t>Nairobi u_c
SOLVER</t>
  </si>
  <si>
    <t>$I$34</t>
  </si>
  <si>
    <t>Nakuru x_c
SOLVER</t>
  </si>
  <si>
    <t>$J$34</t>
  </si>
  <si>
    <t>Nakuru u_c
SOLVER</t>
  </si>
  <si>
    <t>$I$35</t>
  </si>
  <si>
    <t>Nandi x_c
SOLVER</t>
  </si>
  <si>
    <t>$J$35</t>
  </si>
  <si>
    <t>Nandi u_c
SOLVER</t>
  </si>
  <si>
    <t>$I$36</t>
  </si>
  <si>
    <t>Narok x_c
SOLVER</t>
  </si>
  <si>
    <t>$J$36</t>
  </si>
  <si>
    <t>Narok u_c
SOLVER</t>
  </si>
  <si>
    <t>$I$37</t>
  </si>
  <si>
    <t>Nyamira x_c
SOLVER</t>
  </si>
  <si>
    <t>$J$37</t>
  </si>
  <si>
    <t>Nyamira u_c
SOLVER</t>
  </si>
  <si>
    <t>$I$38</t>
  </si>
  <si>
    <t>Nyandarua x_c
SOLVER</t>
  </si>
  <si>
    <t>$J$38</t>
  </si>
  <si>
    <t>Nyandarua u_c
SOLVER</t>
  </si>
  <si>
    <t>$I$39</t>
  </si>
  <si>
    <t>Nyeri x_c
SOLVER</t>
  </si>
  <si>
    <t>$J$39</t>
  </si>
  <si>
    <t>Nyeri u_c
SOLVER</t>
  </si>
  <si>
    <t>$I$40</t>
  </si>
  <si>
    <t>Samburu x_c
SOLVER</t>
  </si>
  <si>
    <t>$J$40</t>
  </si>
  <si>
    <t>Samburu u_c
SOLVER</t>
  </si>
  <si>
    <t>$I$41</t>
  </si>
  <si>
    <t>Siaya x_c
SOLVER</t>
  </si>
  <si>
    <t>$J$41</t>
  </si>
  <si>
    <t>Siaya u_c
SOLVER</t>
  </si>
  <si>
    <t>$I$42</t>
  </si>
  <si>
    <t>Taita-Taveta x_c
SOLVER</t>
  </si>
  <si>
    <t>$J$42</t>
  </si>
  <si>
    <t>Taita-Taveta u_c
SOLVER</t>
  </si>
  <si>
    <t>$I$43</t>
  </si>
  <si>
    <t>Tana River x_c
SOLVER</t>
  </si>
  <si>
    <t>$J$43</t>
  </si>
  <si>
    <t>Tana River u_c
SOLVER</t>
  </si>
  <si>
    <t>$I$44</t>
  </si>
  <si>
    <t>Tharaka-Nithi x_c
SOLVER</t>
  </si>
  <si>
    <t>$J$44</t>
  </si>
  <si>
    <t>Tharaka-Nithi u_c
SOLVER</t>
  </si>
  <si>
    <t>$I$45</t>
  </si>
  <si>
    <t>Trans Nzoia x_c
SOLVER</t>
  </si>
  <si>
    <t>$J$45</t>
  </si>
  <si>
    <t>Trans Nzoia u_c
SOLVER</t>
  </si>
  <si>
    <t>$I$46</t>
  </si>
  <si>
    <t>Turkana x_c
SOLVER</t>
  </si>
  <si>
    <t>$J$46</t>
  </si>
  <si>
    <t>Turkana u_c
SOLVER</t>
  </si>
  <si>
    <t>$I$47</t>
  </si>
  <si>
    <t>Uasin Gishu x_c
SOLVER</t>
  </si>
  <si>
    <t>$J$47</t>
  </si>
  <si>
    <t>Uasin Gishu u_c
SOLVER</t>
  </si>
  <si>
    <t>$I$48</t>
  </si>
  <si>
    <t>Vihiga x_c
SOLVER</t>
  </si>
  <si>
    <t>$J$48</t>
  </si>
  <si>
    <t>Vihiga u_c
SOLVER</t>
  </si>
  <si>
    <t>$I$49</t>
  </si>
  <si>
    <t>Wajir x_c
SOLVER</t>
  </si>
  <si>
    <t>$J$49</t>
  </si>
  <si>
    <t>Wajir u_c
SOLVER</t>
  </si>
  <si>
    <t>$I$50</t>
  </si>
  <si>
    <t>West Pokot x_c
SOLVER</t>
  </si>
  <si>
    <t>$J$50</t>
  </si>
  <si>
    <t>West Pokot u_c
SOLVER</t>
  </si>
  <si>
    <t>$J$4&lt;=$L$4</t>
  </si>
  <si>
    <t>Binding</t>
  </si>
  <si>
    <t>$J$5&lt;=$L$5</t>
  </si>
  <si>
    <t>$J$6&lt;=$L$6</t>
  </si>
  <si>
    <t>$J$7&lt;=$L$7</t>
  </si>
  <si>
    <t>Not Binding</t>
  </si>
  <si>
    <t>$J$8&lt;=$L$8</t>
  </si>
  <si>
    <t>$J$9&lt;=$L$9</t>
  </si>
  <si>
    <t>$J$10&lt;=$L$10</t>
  </si>
  <si>
    <t>$J$11&lt;=$L$11</t>
  </si>
  <si>
    <t>$J$12&lt;=$L$12</t>
  </si>
  <si>
    <t>$J$13&lt;=$L$13</t>
  </si>
  <si>
    <t>$J$14&lt;=$L$14</t>
  </si>
  <si>
    <t>$J$15&lt;=$L$15</t>
  </si>
  <si>
    <t>$J$16&lt;=$L$16</t>
  </si>
  <si>
    <t>$J$17&lt;=$L$17</t>
  </si>
  <si>
    <t>$J$18&lt;=$L$18</t>
  </si>
  <si>
    <t>$J$19&lt;=$L$19</t>
  </si>
  <si>
    <t>$J$20&lt;=$L$20</t>
  </si>
  <si>
    <t>$J$21&lt;=$L$21</t>
  </si>
  <si>
    <t>$J$22&lt;=$L$22</t>
  </si>
  <si>
    <t>$J$23&lt;=$L$23</t>
  </si>
  <si>
    <t>$J$24&lt;=$L$24</t>
  </si>
  <si>
    <t>$J$25&lt;=$L$25</t>
  </si>
  <si>
    <t>$J$26&lt;=$L$26</t>
  </si>
  <si>
    <t>$J$27&lt;=$L$27</t>
  </si>
  <si>
    <t>$J$28&lt;=$L$28</t>
  </si>
  <si>
    <t>$J$29&lt;=$L$29</t>
  </si>
  <si>
    <t>$J$30&lt;=$L$30</t>
  </si>
  <si>
    <t>$J$31&lt;=$L$31</t>
  </si>
  <si>
    <t>$J$32&lt;=$L$32</t>
  </si>
  <si>
    <t>$J$33&lt;=$L$33</t>
  </si>
  <si>
    <t>$J$34&lt;=$L$34</t>
  </si>
  <si>
    <t>$J$35&lt;=$L$35</t>
  </si>
  <si>
    <t>$J$36&lt;=$L$36</t>
  </si>
  <si>
    <t>$J$37&lt;=$L$37</t>
  </si>
  <si>
    <t>$J$38&lt;=$L$38</t>
  </si>
  <si>
    <t>$J$39&lt;=$L$39</t>
  </si>
  <si>
    <t>$J$40&lt;=$L$40</t>
  </si>
  <si>
    <t>$J$41&lt;=$L$41</t>
  </si>
  <si>
    <t>$J$42&lt;=$L$42</t>
  </si>
  <si>
    <t>$J$43&lt;=$L$43</t>
  </si>
  <si>
    <t>$J$44&lt;=$L$44</t>
  </si>
  <si>
    <t>$J$45&lt;=$L$45</t>
  </si>
  <si>
    <t>$J$46&lt;=$L$46</t>
  </si>
  <si>
    <t>$J$47&lt;=$L$47</t>
  </si>
  <si>
    <t>$J$48&lt;=$L$48</t>
  </si>
  <si>
    <t>$J$49&lt;=$L$49</t>
  </si>
  <si>
    <t>$J$50&lt;=$L$50</t>
  </si>
  <si>
    <t>$J$4&gt;=$M$4</t>
  </si>
  <si>
    <t>$J$5&gt;=$M$5</t>
  </si>
  <si>
    <t>$J$6&gt;=$M$6</t>
  </si>
  <si>
    <t>$J$7&gt;=$M$7</t>
  </si>
  <si>
    <t>$J$8&gt;=$M$8</t>
  </si>
  <si>
    <t>$J$9&gt;=$M$9</t>
  </si>
  <si>
    <t>$J$10&gt;=$M$10</t>
  </si>
  <si>
    <t>$J$11&gt;=$M$11</t>
  </si>
  <si>
    <t>$J$12&gt;=$M$12</t>
  </si>
  <si>
    <t>$J$13&gt;=$M$13</t>
  </si>
  <si>
    <t>$J$14&gt;=$M$14</t>
  </si>
  <si>
    <t>$J$15&gt;=$M$15</t>
  </si>
  <si>
    <t>$J$16&gt;=$M$16</t>
  </si>
  <si>
    <t>$J$17&gt;=$M$17</t>
  </si>
  <si>
    <t>$J$18&gt;=$M$18</t>
  </si>
  <si>
    <t>$J$19&gt;=$M$19</t>
  </si>
  <si>
    <t>$J$20&gt;=$M$20</t>
  </si>
  <si>
    <t>$J$21&gt;=$M$21</t>
  </si>
  <si>
    <t>$J$22&gt;=$M$22</t>
  </si>
  <si>
    <t>$J$23&gt;=$M$23</t>
  </si>
  <si>
    <t>$J$24&gt;=$M$24</t>
  </si>
  <si>
    <t>$J$25&gt;=$M$25</t>
  </si>
  <si>
    <t>$J$26&gt;=$M$26</t>
  </si>
  <si>
    <t>$J$27&gt;=$M$27</t>
  </si>
  <si>
    <t>$J$28&gt;=$M$28</t>
  </si>
  <si>
    <t>$J$29&gt;=$M$29</t>
  </si>
  <si>
    <t>$J$30&gt;=$M$30</t>
  </si>
  <si>
    <t>$J$31&gt;=$M$31</t>
  </si>
  <si>
    <t>$J$32&gt;=$M$32</t>
  </si>
  <si>
    <t>$J$33&gt;=$M$33</t>
  </si>
  <si>
    <t>$J$34&gt;=$M$34</t>
  </si>
  <si>
    <t>$J$35&gt;=$M$35</t>
  </si>
  <si>
    <t>$J$36&gt;=$M$36</t>
  </si>
  <si>
    <t>$J$37&gt;=$M$37</t>
  </si>
  <si>
    <t>$J$38&gt;=$M$38</t>
  </si>
  <si>
    <t>$J$39&gt;=$M$39</t>
  </si>
  <si>
    <t>$J$40&gt;=$M$40</t>
  </si>
  <si>
    <t>$J$41&gt;=$M$41</t>
  </si>
  <si>
    <t>$J$42&gt;=$M$42</t>
  </si>
  <si>
    <t>$J$43&gt;=$M$43</t>
  </si>
  <si>
    <t>$J$44&gt;=$M$44</t>
  </si>
  <si>
    <t>$J$45&gt;=$M$45</t>
  </si>
  <si>
    <t>$J$46&gt;=$M$46</t>
  </si>
  <si>
    <t>$J$47&gt;=$M$47</t>
  </si>
  <si>
    <t>$J$48&gt;=$M$48</t>
  </si>
  <si>
    <t>$J$49&gt;=$M$49</t>
  </si>
  <si>
    <t>$J$50&gt;=$M$50</t>
  </si>
  <si>
    <t>$R$2</t>
  </si>
  <si>
    <t>$R$2&lt;=$C$54</t>
  </si>
  <si>
    <t>$R$3</t>
  </si>
  <si>
    <t>$R$3&lt;=$C$54</t>
  </si>
  <si>
    <t>$R$3&lt;=$C$55</t>
  </si>
  <si>
    <t>$I$4:$I$50=Binary</t>
  </si>
  <si>
    <t>Binary</t>
  </si>
  <si>
    <t>$J$4:$J$50=Integer</t>
  </si>
  <si>
    <t>$I$4:$J$50</t>
  </si>
  <si>
    <t>$J$4:$J$50 &lt;= $L$4:$L$50</t>
  </si>
  <si>
    <t>$J$4:$J$50 &gt;= $M$4:$M$50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</si>
</sst>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charset val="1"/>
    </font>
    <font>
      <b/>
      <sz val="13"/>
      <name val="Arial"/>
      <family val="2"/>
      <charset val="1"/>
    </font>
    <font>
      <b/>
      <sz val="11"/>
      <name val="Arial"/>
      <family val="2"/>
      <charset val="1"/>
    </font>
    <font>
      <sz val="10"/>
      <name val="Arial"/>
      <family val="2"/>
      <charset val="1"/>
    </font>
    <font>
      <b/>
      <i/>
      <sz val="10"/>
      <color rgb="FFC00000"/>
      <name val="Arial"/>
      <family val="2"/>
      <charset val="1"/>
    </font>
    <font>
      <b/>
      <sz val="10"/>
      <color rgb="FFFFFFFF"/>
      <name val="Arial"/>
      <family val="2"/>
      <charset val="1"/>
    </font>
    <font>
      <sz val="10"/>
      <color rgb="FF000000"/>
      <name val="Arial"/>
      <family val="2"/>
      <charset val="1"/>
    </font>
    <font>
      <i/>
      <sz val="9"/>
      <color rgb="FFC00000"/>
      <name val="Arial"/>
      <family val="2"/>
    </font>
    <font>
      <sz val="10"/>
      <color rgb="FF0000FF"/>
      <name val="Arial"/>
      <family val="2"/>
      <charset val="1"/>
    </font>
    <font>
      <b/>
      <sz val="10"/>
      <name val="Arial"/>
      <family val="2"/>
      <charset val="1"/>
    </font>
    <font>
      <i/>
      <sz val="9"/>
      <color rgb="FF595959"/>
      <name val="Arial"/>
      <family val="2"/>
      <charset val="1"/>
    </font>
    <font>
      <b/>
      <sz val="11"/>
      <color rgb="FF0000FF"/>
      <name val="Arial"/>
      <family val="2"/>
      <charset val="1"/>
    </font>
    <font>
      <b/>
      <sz val="11"/>
      <color theme="1"/>
      <name val="Calibri"/>
      <family val="2"/>
    </font>
    <font>
      <b/>
      <sz val="11"/>
      <color indexed="18"/>
      <name val="Calibri"/>
      <family val="2"/>
      <charset val="1"/>
    </font>
    <font>
      <b/>
      <sz val="11"/>
      <name val="Calibri"/>
      <family val="2"/>
    </font>
    <font>
      <b/>
      <sz val="11"/>
      <color theme="1"/>
      <name val="Calibri"/>
      <family val="2"/>
      <charset val="1"/>
    </font>
  </fonts>
  <fills count="5">
    <fill>
      <patternFill patternType="none"/>
    </fill>
    <fill>
      <patternFill patternType="gray125"/>
    </fill>
    <fill>
      <patternFill patternType="solid">
        <fgColor rgb="FF1F4E78"/>
        <bgColor rgb="FF003366"/>
      </patternFill>
    </fill>
    <fill>
      <patternFill patternType="solid">
        <fgColor rgb="FFFFFF00"/>
        <bgColor rgb="FFFFFF00"/>
      </patternFill>
    </fill>
    <fill>
      <patternFill patternType="solid">
        <fgColor rgb="FFFFF2CC"/>
        <bgColor rgb="FFFFFFFF"/>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medium">
        <color rgb="FF1F4E78"/>
      </left>
      <right style="medium">
        <color rgb="FF1F4E78"/>
      </right>
      <top style="medium">
        <color rgb="FF1F4E78"/>
      </top>
      <bottom style="medium">
        <color rgb="FF1F4E78"/>
      </bottom>
      <diagonal/>
    </border>
    <border>
      <left/>
      <right/>
      <top style="medium">
        <color indexed="23"/>
      </top>
      <bottom style="medium">
        <color indexed="23"/>
      </bottom>
      <diagonal/>
    </border>
    <border>
      <left/>
      <right/>
      <top style="thin">
        <color indexed="23"/>
      </top>
      <bottom style="medium">
        <color indexed="23"/>
      </bottom>
      <diagonal/>
    </border>
    <border>
      <left/>
      <right/>
      <top style="thin">
        <color indexed="23"/>
      </top>
      <bottom/>
      <diagonal/>
    </border>
  </borders>
  <cellStyleXfs count="1">
    <xf numFmtId="0" fontId="0" fillId="0" borderId="0"/>
  </cellStyleXfs>
  <cellXfs count="34">
    <xf numFmtId="0" fontId="0" fillId="0" borderId="0" xfId="0"/>
    <xf numFmtId="0" fontId="10" fillId="0" borderId="0" xfId="0" applyFont="1"/>
    <xf numFmtId="0" fontId="2" fillId="0" borderId="2" xfId="0" applyFont="1" applyBorder="1"/>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2" fillId="0" borderId="0" xfId="0" applyFont="1"/>
    <xf numFmtId="0" fontId="3" fillId="0" borderId="0" xfId="0" applyFont="1"/>
    <xf numFmtId="0" fontId="5" fillId="2" borderId="1" xfId="0" applyFont="1" applyFill="1" applyBorder="1" applyAlignment="1">
      <alignment horizontal="center" vertical="center" wrapText="1"/>
    </xf>
    <xf numFmtId="0" fontId="6" fillId="0" borderId="1" xfId="0" applyFont="1" applyBorder="1"/>
    <xf numFmtId="0" fontId="2" fillId="3" borderId="2" xfId="0" applyFont="1" applyFill="1" applyBorder="1"/>
    <xf numFmtId="0" fontId="8" fillId="0" borderId="1" xfId="0" applyFont="1" applyBorder="1"/>
    <xf numFmtId="0" fontId="2" fillId="4" borderId="1" xfId="0" applyFont="1" applyFill="1" applyBorder="1"/>
    <xf numFmtId="0" fontId="9" fillId="0" borderId="0" xfId="0" applyFont="1"/>
    <xf numFmtId="0" fontId="8" fillId="0" borderId="0" xfId="0" applyFont="1"/>
    <xf numFmtId="0" fontId="2" fillId="0" borderId="1" xfId="0" applyFont="1" applyBorder="1"/>
    <xf numFmtId="0" fontId="11" fillId="4" borderId="1" xfId="0" applyFont="1" applyFill="1" applyBorder="1"/>
    <xf numFmtId="0" fontId="0" fillId="0" borderId="1" xfId="0" applyBorder="1"/>
    <xf numFmtId="0" fontId="10" fillId="0" borderId="1" xfId="0" applyFont="1" applyBorder="1"/>
    <xf numFmtId="0" fontId="12" fillId="0" borderId="0" xfId="0" applyFont="1"/>
    <xf numFmtId="0" fontId="0" fillId="0" borderId="4" xfId="0" applyBorder="1"/>
    <xf numFmtId="0" fontId="0" fillId="0" borderId="5" xfId="0" applyBorder="1"/>
    <xf numFmtId="0" fontId="0" fillId="0" borderId="5" xfId="0" applyBorder="1" applyAlignment="1">
      <alignment wrapText="1"/>
    </xf>
    <xf numFmtId="0" fontId="0" fillId="0" borderId="4" xfId="0" applyBorder="1" applyAlignment="1">
      <alignment wrapText="1"/>
    </xf>
    <xf numFmtId="0" fontId="0" fillId="0" borderId="0" xfId="0" applyAlignment="1">
      <alignment wrapText="1"/>
    </xf>
    <xf numFmtId="0" fontId="13" fillId="0" borderId="0" xfId="0" applyFont="1" applyAlignment="1">
      <alignment horizontal="center"/>
    </xf>
    <xf numFmtId="0" fontId="14" fillId="0" borderId="0" xfId="0" applyFont="1" applyAlignment="1">
      <alignment horizontal="left"/>
    </xf>
    <xf numFmtId="0" fontId="14" fillId="0" borderId="5" xfId="0" applyFont="1" applyBorder="1" applyAlignment="1">
      <alignment horizontal="left"/>
    </xf>
    <xf numFmtId="0" fontId="15" fillId="0" borderId="3" xfId="0" applyFont="1" applyBorder="1" applyAlignment="1">
      <alignment horizontal="center"/>
    </xf>
    <xf numFmtId="0" fontId="4" fillId="0" borderId="0" xfId="0" applyFont="1"/>
    <xf numFmtId="0" fontId="1" fillId="0" borderId="0" xfId="0" applyFont="1"/>
    <xf numFmtId="0" fontId="2" fillId="0" borderId="2" xfId="0" applyFont="1" applyBorder="1"/>
    <xf numFmtId="0" fontId="7" fillId="0" borderId="0" xfId="0" applyFont="1" applyAlignment="1">
      <alignment vertical="top" wrapText="1"/>
    </xf>
    <xf numFmtId="0" fontId="10"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0"/>
  <sheetViews>
    <sheetView showGridLines="0" zoomScaleNormal="100" workbookViewId="0">
      <selection activeCell="B5" sqref="B5"/>
    </sheetView>
  </sheetViews>
  <sheetFormatPr baseColWidth="10" defaultColWidth="8.6640625" defaultRowHeight="15" x14ac:dyDescent="0.2"/>
  <cols>
    <col min="1" max="1" width="108" customWidth="1"/>
  </cols>
  <sheetData>
    <row r="1" spans="1:1" ht="18" customHeight="1" x14ac:dyDescent="0.2">
      <c r="A1" s="3" t="s">
        <v>0</v>
      </c>
    </row>
    <row r="3" spans="1:1" x14ac:dyDescent="0.2">
      <c r="A3" s="4"/>
    </row>
    <row r="4" spans="1:1" x14ac:dyDescent="0.2">
      <c r="A4" s="5"/>
    </row>
    <row r="6" spans="1:1" x14ac:dyDescent="0.2">
      <c r="A6" s="4" t="s">
        <v>1</v>
      </c>
    </row>
    <row r="7" spans="1:1" x14ac:dyDescent="0.2">
      <c r="A7" s="5" t="s">
        <v>2</v>
      </c>
    </row>
    <row r="8" spans="1:1" ht="42" customHeight="1" x14ac:dyDescent="0.2">
      <c r="A8" s="5" t="s">
        <v>3</v>
      </c>
    </row>
    <row r="9" spans="1:1" ht="55.5" customHeight="1" x14ac:dyDescent="0.2">
      <c r="A9" s="5" t="s">
        <v>4</v>
      </c>
    </row>
    <row r="11" spans="1:1" x14ac:dyDescent="0.2">
      <c r="A11" s="4" t="s">
        <v>5</v>
      </c>
    </row>
    <row r="12" spans="1:1" x14ac:dyDescent="0.2">
      <c r="A12" s="5" t="s">
        <v>6</v>
      </c>
    </row>
    <row r="13" spans="1:1" ht="42" customHeight="1" x14ac:dyDescent="0.2">
      <c r="A13" s="5" t="s">
        <v>7</v>
      </c>
    </row>
    <row r="14" spans="1:1" x14ac:dyDescent="0.2">
      <c r="A14" s="5" t="s">
        <v>8</v>
      </c>
    </row>
    <row r="16" spans="1:1" x14ac:dyDescent="0.2">
      <c r="A16" s="6"/>
    </row>
    <row r="17" spans="1:1" x14ac:dyDescent="0.2">
      <c r="A17" s="7"/>
    </row>
    <row r="18" spans="1:1" x14ac:dyDescent="0.2">
      <c r="A18" s="7"/>
    </row>
    <row r="19" spans="1:1" x14ac:dyDescent="0.2">
      <c r="A19" s="7"/>
    </row>
    <row r="20" spans="1:1" x14ac:dyDescent="0.2">
      <c r="A20" s="7"/>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
  <sheetViews>
    <sheetView showGridLines="0" zoomScaleNormal="100" workbookViewId="0">
      <selection activeCell="I9" sqref="I9"/>
    </sheetView>
  </sheetViews>
  <sheetFormatPr baseColWidth="10" defaultColWidth="8.6640625" defaultRowHeight="15" x14ac:dyDescent="0.2"/>
  <cols>
    <col min="1" max="1" width="20" customWidth="1"/>
    <col min="2" max="3" width="10" customWidth="1"/>
    <col min="4" max="4" width="11" customWidth="1"/>
    <col min="5" max="5" width="14" customWidth="1"/>
    <col min="6" max="6" width="9" customWidth="1"/>
    <col min="7" max="7" width="16" customWidth="1"/>
    <col min="8" max="8" width="9" customWidth="1"/>
    <col min="9" max="9" width="16" customWidth="1"/>
  </cols>
  <sheetData>
    <row r="1" spans="1:9" ht="30" customHeight="1" x14ac:dyDescent="0.2">
      <c r="A1" s="29" t="s">
        <v>9</v>
      </c>
      <c r="B1" s="29"/>
      <c r="C1" s="29"/>
      <c r="D1" s="29"/>
      <c r="E1" s="29"/>
      <c r="F1" s="29"/>
      <c r="G1" s="29"/>
      <c r="H1" s="29"/>
      <c r="I1" s="29"/>
    </row>
    <row r="2" spans="1:9" ht="27.75" customHeight="1" x14ac:dyDescent="0.2">
      <c r="A2" s="8" t="s">
        <v>10</v>
      </c>
      <c r="B2" s="8" t="s">
        <v>11</v>
      </c>
      <c r="C2" s="8" t="s">
        <v>12</v>
      </c>
      <c r="D2" s="8" t="s">
        <v>13</v>
      </c>
      <c r="E2" s="8" t="s">
        <v>14</v>
      </c>
      <c r="F2" s="8" t="s">
        <v>15</v>
      </c>
      <c r="G2" s="8" t="s">
        <v>16</v>
      </c>
      <c r="H2" s="8" t="s">
        <v>17</v>
      </c>
      <c r="I2" s="8" t="s">
        <v>18</v>
      </c>
    </row>
    <row r="3" spans="1:9" x14ac:dyDescent="0.2">
      <c r="A3" s="9" t="s">
        <v>19</v>
      </c>
      <c r="B3" s="9">
        <v>200</v>
      </c>
      <c r="C3" s="9">
        <v>-3.9343078701018198E-2</v>
      </c>
      <c r="D3" s="9">
        <v>0.49293593629966398</v>
      </c>
      <c r="E3" s="9">
        <v>3291493.8617021302</v>
      </c>
      <c r="F3" s="9">
        <v>0</v>
      </c>
      <c r="G3" s="9" t="s">
        <v>20</v>
      </c>
      <c r="H3" s="9">
        <v>100</v>
      </c>
      <c r="I3" s="9" t="s">
        <v>21</v>
      </c>
    </row>
    <row r="4" spans="1:9" x14ac:dyDescent="0.2">
      <c r="A4" s="9" t="s">
        <v>22</v>
      </c>
      <c r="B4" s="9">
        <v>200</v>
      </c>
      <c r="C4" s="9">
        <v>-7.4642300917038301E-2</v>
      </c>
      <c r="D4" s="9">
        <v>0.92631401480843101</v>
      </c>
      <c r="E4" s="9">
        <v>3291493.1117021302</v>
      </c>
      <c r="F4" s="9">
        <v>200</v>
      </c>
      <c r="G4" s="9" t="s">
        <v>23</v>
      </c>
      <c r="H4" s="9">
        <v>100</v>
      </c>
      <c r="I4" s="9" t="s">
        <v>21</v>
      </c>
    </row>
    <row r="5" spans="1:9" x14ac:dyDescent="0.2">
      <c r="A5" s="9" t="s">
        <v>24</v>
      </c>
      <c r="B5" s="9">
        <v>205</v>
      </c>
      <c r="C5" s="9">
        <v>-2.32109686169529E-2</v>
      </c>
      <c r="D5" s="9">
        <v>1</v>
      </c>
      <c r="E5" s="9">
        <v>3291492.3617021302</v>
      </c>
      <c r="F5" s="9">
        <v>205</v>
      </c>
      <c r="G5" s="9" t="s">
        <v>23</v>
      </c>
      <c r="H5" s="9">
        <v>205</v>
      </c>
      <c r="I5" s="9" t="s">
        <v>23</v>
      </c>
    </row>
    <row r="6" spans="1:9" x14ac:dyDescent="0.2">
      <c r="A6" s="9" t="s">
        <v>25</v>
      </c>
      <c r="B6" s="9">
        <v>210</v>
      </c>
      <c r="C6" s="9">
        <v>9.5607116870318004E-2</v>
      </c>
      <c r="D6" s="9">
        <v>0.79362270738384499</v>
      </c>
      <c r="E6" s="9">
        <v>3291493.1117021302</v>
      </c>
      <c r="F6" s="9">
        <v>100</v>
      </c>
      <c r="G6" s="9" t="s">
        <v>21</v>
      </c>
      <c r="H6" s="9">
        <v>100</v>
      </c>
      <c r="I6" s="9" t="s">
        <v>21</v>
      </c>
    </row>
    <row r="7" spans="1:9" x14ac:dyDescent="0.2">
      <c r="A7" s="9" t="s">
        <v>26</v>
      </c>
      <c r="B7" s="9">
        <v>200</v>
      </c>
      <c r="C7" s="9">
        <v>-4.3717566793276097E-2</v>
      </c>
      <c r="D7" s="9">
        <v>0.77807619486152901</v>
      </c>
      <c r="E7" s="9">
        <v>3291507.3617021302</v>
      </c>
      <c r="F7" s="9">
        <v>0</v>
      </c>
      <c r="G7" s="9" t="s">
        <v>20</v>
      </c>
      <c r="H7" s="9">
        <v>100</v>
      </c>
      <c r="I7" s="9" t="s">
        <v>21</v>
      </c>
    </row>
    <row r="8" spans="1:9" x14ac:dyDescent="0.2">
      <c r="A8" s="9" t="s">
        <v>27</v>
      </c>
      <c r="B8" s="9">
        <v>200</v>
      </c>
      <c r="C8" s="9">
        <v>-4.0799404531409303E-2</v>
      </c>
      <c r="D8" s="9">
        <v>1</v>
      </c>
      <c r="E8" s="9">
        <v>3291493.1117021302</v>
      </c>
      <c r="F8" s="9">
        <v>200</v>
      </c>
      <c r="G8" s="9" t="s">
        <v>23</v>
      </c>
      <c r="H8" s="9">
        <v>100</v>
      </c>
      <c r="I8" s="9" t="s">
        <v>21</v>
      </c>
    </row>
    <row r="9" spans="1:9" x14ac:dyDescent="0.2">
      <c r="A9" s="9" t="s">
        <v>28</v>
      </c>
      <c r="B9" s="9">
        <v>200</v>
      </c>
      <c r="C9" s="9">
        <v>-0.30649699296044097</v>
      </c>
      <c r="D9" s="9">
        <v>1</v>
      </c>
      <c r="E9" s="9">
        <v>3291493.1117021302</v>
      </c>
      <c r="F9" s="9">
        <v>0</v>
      </c>
      <c r="G9" s="9" t="s">
        <v>20</v>
      </c>
      <c r="H9" s="9">
        <v>100</v>
      </c>
      <c r="I9" s="9" t="s">
        <v>21</v>
      </c>
    </row>
    <row r="10" spans="1:9" x14ac:dyDescent="0.2">
      <c r="A10" s="9" t="s">
        <v>29</v>
      </c>
      <c r="B10" s="9">
        <v>200</v>
      </c>
      <c r="C10" s="9">
        <v>-4.1146784562933997E-2</v>
      </c>
      <c r="D10" s="9">
        <v>0.60688403628889398</v>
      </c>
      <c r="E10" s="9">
        <v>3291489.3617021302</v>
      </c>
      <c r="F10" s="9">
        <v>0</v>
      </c>
      <c r="G10" s="9" t="s">
        <v>20</v>
      </c>
      <c r="H10" s="9">
        <v>100</v>
      </c>
      <c r="I10" s="9" t="s">
        <v>21</v>
      </c>
    </row>
    <row r="11" spans="1:9" x14ac:dyDescent="0.2">
      <c r="A11" s="9" t="s">
        <v>30</v>
      </c>
      <c r="B11" s="9">
        <v>200</v>
      </c>
      <c r="C11" s="9">
        <v>-0.2330178840404</v>
      </c>
      <c r="D11" s="9">
        <v>0.76242072819719198</v>
      </c>
      <c r="E11" s="9">
        <v>3291494.0117021301</v>
      </c>
      <c r="F11" s="9">
        <v>0</v>
      </c>
      <c r="G11" s="9" t="s">
        <v>20</v>
      </c>
      <c r="H11" s="9">
        <v>100</v>
      </c>
      <c r="I11" s="9" t="s">
        <v>21</v>
      </c>
    </row>
    <row r="12" spans="1:9" x14ac:dyDescent="0.2">
      <c r="A12" s="9" t="s">
        <v>31</v>
      </c>
      <c r="B12" s="9">
        <v>340</v>
      </c>
      <c r="C12" s="9">
        <v>-0.23318457786055</v>
      </c>
      <c r="D12" s="9">
        <v>0.21187978897276799</v>
      </c>
      <c r="E12" s="9">
        <v>3291492.3617021302</v>
      </c>
      <c r="F12" s="9">
        <v>0</v>
      </c>
      <c r="G12" s="9" t="s">
        <v>20</v>
      </c>
      <c r="H12" s="9">
        <v>100</v>
      </c>
      <c r="I12" s="9" t="s">
        <v>21</v>
      </c>
    </row>
    <row r="13" spans="1:9" x14ac:dyDescent="0.2">
      <c r="A13" s="9" t="s">
        <v>32</v>
      </c>
      <c r="B13" s="9">
        <v>232</v>
      </c>
      <c r="C13" s="9">
        <v>0.12641085968844301</v>
      </c>
      <c r="D13" s="9">
        <v>0.83320307081907896</v>
      </c>
      <c r="E13" s="9">
        <v>3297151.8617021302</v>
      </c>
      <c r="F13" s="9">
        <v>232</v>
      </c>
      <c r="G13" s="9" t="s">
        <v>23</v>
      </c>
      <c r="H13" s="9">
        <v>232</v>
      </c>
      <c r="I13" s="9" t="s">
        <v>23</v>
      </c>
    </row>
    <row r="14" spans="1:9" x14ac:dyDescent="0.2">
      <c r="A14" s="9" t="s">
        <v>33</v>
      </c>
      <c r="B14" s="9">
        <v>200</v>
      </c>
      <c r="C14" s="9">
        <v>-0.100535182095586</v>
      </c>
      <c r="D14" s="9">
        <v>0.87560558849540204</v>
      </c>
      <c r="E14" s="9">
        <v>3291493.1117021302</v>
      </c>
      <c r="F14" s="9">
        <v>0</v>
      </c>
      <c r="G14" s="9" t="s">
        <v>20</v>
      </c>
      <c r="H14" s="9">
        <v>100</v>
      </c>
      <c r="I14" s="9" t="s">
        <v>21</v>
      </c>
    </row>
    <row r="15" spans="1:9" x14ac:dyDescent="0.2">
      <c r="A15" s="9" t="s">
        <v>34</v>
      </c>
      <c r="B15" s="9">
        <v>200</v>
      </c>
      <c r="C15" s="9">
        <v>-8.8095793932762304E-2</v>
      </c>
      <c r="D15" s="9">
        <v>1</v>
      </c>
      <c r="E15" s="9">
        <v>3291489.3617021302</v>
      </c>
      <c r="F15" s="9">
        <v>200</v>
      </c>
      <c r="G15" s="9" t="s">
        <v>23</v>
      </c>
      <c r="H15" s="9">
        <v>200</v>
      </c>
      <c r="I15" s="9" t="s">
        <v>23</v>
      </c>
    </row>
    <row r="16" spans="1:9" x14ac:dyDescent="0.2">
      <c r="A16" s="9" t="s">
        <v>35</v>
      </c>
      <c r="B16" s="9">
        <v>200</v>
      </c>
      <c r="C16" s="9">
        <v>-9.4739095355590497E-2</v>
      </c>
      <c r="D16" s="9">
        <v>0.81817197661723096</v>
      </c>
      <c r="E16" s="9">
        <v>3291493.1117021302</v>
      </c>
      <c r="F16" s="9">
        <v>200</v>
      </c>
      <c r="G16" s="9" t="s">
        <v>23</v>
      </c>
      <c r="H16" s="9">
        <v>100</v>
      </c>
      <c r="I16" s="9" t="s">
        <v>21</v>
      </c>
    </row>
    <row r="17" spans="1:9" x14ac:dyDescent="0.2">
      <c r="A17" s="9" t="s">
        <v>36</v>
      </c>
      <c r="B17" s="9">
        <v>200</v>
      </c>
      <c r="C17" s="9">
        <v>-3.3448612235063999E-2</v>
      </c>
      <c r="D17" s="9">
        <v>1</v>
      </c>
      <c r="E17" s="9">
        <v>3291489.3617021302</v>
      </c>
      <c r="F17" s="9">
        <v>200</v>
      </c>
      <c r="G17" s="9" t="s">
        <v>23</v>
      </c>
      <c r="H17" s="9">
        <v>100</v>
      </c>
      <c r="I17" s="9" t="s">
        <v>21</v>
      </c>
    </row>
    <row r="18" spans="1:9" x14ac:dyDescent="0.2">
      <c r="A18" s="9" t="s">
        <v>37</v>
      </c>
      <c r="B18" s="9">
        <v>200</v>
      </c>
      <c r="C18" s="9">
        <v>-0.10144112962006301</v>
      </c>
      <c r="D18" s="9">
        <v>0.47257501811549302</v>
      </c>
      <c r="E18" s="9">
        <v>3291493.1117021302</v>
      </c>
      <c r="F18" s="9">
        <v>0</v>
      </c>
      <c r="G18" s="9" t="s">
        <v>20</v>
      </c>
      <c r="H18" s="9">
        <v>100</v>
      </c>
      <c r="I18" s="9" t="s">
        <v>21</v>
      </c>
    </row>
    <row r="19" spans="1:9" x14ac:dyDescent="0.2">
      <c r="A19" s="9" t="s">
        <v>38</v>
      </c>
      <c r="B19" s="9">
        <v>232</v>
      </c>
      <c r="C19" s="9">
        <v>-8.3875794288848005E-2</v>
      </c>
      <c r="D19" s="9">
        <v>1</v>
      </c>
      <c r="E19" s="9">
        <v>3291493.1117021302</v>
      </c>
      <c r="F19" s="9">
        <v>232</v>
      </c>
      <c r="G19" s="9" t="s">
        <v>23</v>
      </c>
      <c r="H19" s="9">
        <v>100</v>
      </c>
      <c r="I19" s="9" t="s">
        <v>21</v>
      </c>
    </row>
    <row r="20" spans="1:9" x14ac:dyDescent="0.2">
      <c r="A20" s="9" t="s">
        <v>39</v>
      </c>
      <c r="B20" s="9">
        <v>200</v>
      </c>
      <c r="C20" s="9">
        <v>5.53758531687608E-2</v>
      </c>
      <c r="D20" s="9">
        <v>0.50817375803198706</v>
      </c>
      <c r="E20" s="9">
        <v>3291489.3617021302</v>
      </c>
      <c r="F20" s="9">
        <v>0</v>
      </c>
      <c r="G20" s="9" t="s">
        <v>20</v>
      </c>
      <c r="H20" s="9">
        <v>100</v>
      </c>
      <c r="I20" s="9" t="s">
        <v>21</v>
      </c>
    </row>
    <row r="21" spans="1:9" x14ac:dyDescent="0.2">
      <c r="A21" s="9" t="s">
        <v>40</v>
      </c>
      <c r="B21" s="9">
        <v>200</v>
      </c>
      <c r="C21" s="9">
        <v>-2.52009437606024E-2</v>
      </c>
      <c r="D21" s="9">
        <v>0.88945950906274396</v>
      </c>
      <c r="E21" s="9">
        <v>3291493.1117021302</v>
      </c>
      <c r="F21" s="9">
        <v>200</v>
      </c>
      <c r="G21" s="9" t="s">
        <v>23</v>
      </c>
      <c r="H21" s="9">
        <v>100</v>
      </c>
      <c r="I21" s="9" t="s">
        <v>21</v>
      </c>
    </row>
    <row r="22" spans="1:9" x14ac:dyDescent="0.2">
      <c r="A22" s="9" t="s">
        <v>41</v>
      </c>
      <c r="B22" s="9">
        <v>261</v>
      </c>
      <c r="C22" s="9">
        <v>0.115532430850506</v>
      </c>
      <c r="D22" s="9">
        <v>0.96267508890839104</v>
      </c>
      <c r="E22" s="9">
        <v>3291493.1117021302</v>
      </c>
      <c r="F22" s="9">
        <v>261</v>
      </c>
      <c r="G22" s="9" t="s">
        <v>23</v>
      </c>
      <c r="H22" s="9">
        <v>100</v>
      </c>
      <c r="I22" s="9" t="s">
        <v>21</v>
      </c>
    </row>
    <row r="23" spans="1:9" x14ac:dyDescent="0.2">
      <c r="A23" s="9" t="s">
        <v>42</v>
      </c>
      <c r="B23" s="9">
        <v>200</v>
      </c>
      <c r="C23" s="9">
        <v>-6.6249137921517806E-2</v>
      </c>
      <c r="D23" s="9">
        <v>1</v>
      </c>
      <c r="E23" s="9">
        <v>3291490.1117021302</v>
      </c>
      <c r="F23" s="9">
        <v>0</v>
      </c>
      <c r="G23" s="9" t="s">
        <v>20</v>
      </c>
      <c r="H23" s="9">
        <v>100</v>
      </c>
      <c r="I23" s="9" t="s">
        <v>21</v>
      </c>
    </row>
    <row r="24" spans="1:9" x14ac:dyDescent="0.2">
      <c r="A24" s="9" t="s">
        <v>43</v>
      </c>
      <c r="B24" s="9">
        <v>380</v>
      </c>
      <c r="C24" s="9">
        <v>-0.144360681158272</v>
      </c>
      <c r="D24" s="9">
        <v>0.72025843136386203</v>
      </c>
      <c r="E24" s="9">
        <v>3291822.9617021298</v>
      </c>
      <c r="F24" s="9">
        <v>0</v>
      </c>
      <c r="G24" s="9" t="s">
        <v>20</v>
      </c>
      <c r="H24" s="9">
        <v>100</v>
      </c>
      <c r="I24" s="9" t="s">
        <v>21</v>
      </c>
    </row>
    <row r="25" spans="1:9" x14ac:dyDescent="0.2">
      <c r="A25" s="9" t="s">
        <v>44</v>
      </c>
      <c r="B25" s="9">
        <v>200</v>
      </c>
      <c r="C25" s="9">
        <v>0.11169202898476099</v>
      </c>
      <c r="D25" s="9">
        <v>0.62291099678804496</v>
      </c>
      <c r="E25" s="9">
        <v>3291740.4617021298</v>
      </c>
      <c r="F25" s="9">
        <v>0</v>
      </c>
      <c r="G25" s="9" t="s">
        <v>20</v>
      </c>
      <c r="H25" s="9">
        <v>100</v>
      </c>
      <c r="I25" s="9" t="s">
        <v>21</v>
      </c>
    </row>
    <row r="26" spans="1:9" x14ac:dyDescent="0.2">
      <c r="A26" s="9" t="s">
        <v>45</v>
      </c>
      <c r="B26" s="9">
        <v>200</v>
      </c>
      <c r="C26" s="9">
        <v>-0.22943130354115801</v>
      </c>
      <c r="D26" s="9">
        <v>1</v>
      </c>
      <c r="E26" s="9">
        <v>3291494.6117021302</v>
      </c>
      <c r="F26" s="9">
        <v>200</v>
      </c>
      <c r="G26" s="9" t="s">
        <v>23</v>
      </c>
      <c r="H26" s="9">
        <v>100</v>
      </c>
      <c r="I26" s="9" t="s">
        <v>21</v>
      </c>
    </row>
    <row r="27" spans="1:9" x14ac:dyDescent="0.2">
      <c r="A27" s="9" t="s">
        <v>46</v>
      </c>
      <c r="B27" s="9">
        <v>200</v>
      </c>
      <c r="C27" s="9">
        <v>-0.29552921677560401</v>
      </c>
      <c r="D27" s="9">
        <v>0.342067791328514</v>
      </c>
      <c r="E27" s="9">
        <v>3291489.3617021302</v>
      </c>
      <c r="F27" s="9">
        <v>0</v>
      </c>
      <c r="G27" s="9" t="s">
        <v>20</v>
      </c>
      <c r="H27" s="9">
        <v>100</v>
      </c>
      <c r="I27" s="9" t="s">
        <v>21</v>
      </c>
    </row>
    <row r="28" spans="1:9" x14ac:dyDescent="0.2">
      <c r="A28" s="9" t="s">
        <v>47</v>
      </c>
      <c r="B28" s="9">
        <v>200</v>
      </c>
      <c r="C28" s="9">
        <v>-0.12865591656817399</v>
      </c>
      <c r="D28" s="9">
        <v>0.986564345457416</v>
      </c>
      <c r="E28" s="9">
        <v>3291493.1117021302</v>
      </c>
      <c r="F28" s="9">
        <v>200</v>
      </c>
      <c r="G28" s="9" t="s">
        <v>23</v>
      </c>
      <c r="H28" s="9">
        <v>100</v>
      </c>
      <c r="I28" s="9" t="s">
        <v>21</v>
      </c>
    </row>
    <row r="29" spans="1:9" x14ac:dyDescent="0.2">
      <c r="A29" s="9" t="s">
        <v>48</v>
      </c>
      <c r="B29" s="9">
        <v>202</v>
      </c>
      <c r="C29" s="9">
        <v>7.5174139186845401E-2</v>
      </c>
      <c r="D29" s="9">
        <v>1</v>
      </c>
      <c r="E29" s="9">
        <v>3291909.2117021298</v>
      </c>
      <c r="F29" s="9">
        <v>202</v>
      </c>
      <c r="G29" s="9" t="s">
        <v>23</v>
      </c>
      <c r="H29" s="9">
        <v>100</v>
      </c>
      <c r="I29" s="9" t="s">
        <v>21</v>
      </c>
    </row>
    <row r="30" spans="1:9" x14ac:dyDescent="0.2">
      <c r="A30" s="9" t="s">
        <v>49</v>
      </c>
      <c r="B30" s="9">
        <v>553</v>
      </c>
      <c r="C30" s="9">
        <v>9.3993811986316705E-2</v>
      </c>
      <c r="D30" s="9">
        <v>1</v>
      </c>
      <c r="E30" s="9">
        <v>3291507.3617021302</v>
      </c>
      <c r="F30" s="9">
        <v>553</v>
      </c>
      <c r="G30" s="9" t="s">
        <v>23</v>
      </c>
      <c r="H30" s="9">
        <v>508</v>
      </c>
      <c r="I30" s="9" t="s">
        <v>21</v>
      </c>
    </row>
    <row r="31" spans="1:9" x14ac:dyDescent="0.2">
      <c r="A31" s="9" t="s">
        <v>50</v>
      </c>
      <c r="B31" s="9">
        <v>328</v>
      </c>
      <c r="C31" s="9">
        <v>-7.3454397390723097E-2</v>
      </c>
      <c r="D31" s="9">
        <v>9.9999999999999995E-7</v>
      </c>
      <c r="E31" s="9">
        <v>3291493.1117021302</v>
      </c>
      <c r="F31" s="9">
        <v>0</v>
      </c>
      <c r="G31" s="9" t="s">
        <v>20</v>
      </c>
      <c r="H31" s="9">
        <v>100</v>
      </c>
      <c r="I31" s="9" t="s">
        <v>21</v>
      </c>
    </row>
    <row r="32" spans="1:9" x14ac:dyDescent="0.2">
      <c r="A32" s="9" t="s">
        <v>51</v>
      </c>
      <c r="B32" s="9">
        <v>490</v>
      </c>
      <c r="C32" s="9">
        <v>0.17697949753809</v>
      </c>
      <c r="D32" s="9">
        <v>1</v>
      </c>
      <c r="E32" s="9">
        <v>3291864.3617021302</v>
      </c>
      <c r="F32" s="9">
        <v>490</v>
      </c>
      <c r="G32" s="9" t="s">
        <v>23</v>
      </c>
      <c r="H32" s="9">
        <v>490</v>
      </c>
      <c r="I32" s="9" t="s">
        <v>23</v>
      </c>
    </row>
    <row r="33" spans="1:9" x14ac:dyDescent="0.2">
      <c r="A33" s="9" t="s">
        <v>52</v>
      </c>
      <c r="B33" s="9">
        <v>265</v>
      </c>
      <c r="C33" s="9">
        <v>3.6864299713576597E-2</v>
      </c>
      <c r="D33" s="9">
        <v>0.99551935872728903</v>
      </c>
      <c r="E33" s="9">
        <v>3291489.3617021302</v>
      </c>
      <c r="F33" s="9">
        <v>265</v>
      </c>
      <c r="G33" s="9" t="s">
        <v>23</v>
      </c>
      <c r="H33" s="9">
        <v>265</v>
      </c>
      <c r="I33" s="9" t="s">
        <v>23</v>
      </c>
    </row>
    <row r="34" spans="1:9" x14ac:dyDescent="0.2">
      <c r="A34" s="9" t="s">
        <v>53</v>
      </c>
      <c r="B34" s="9">
        <v>200</v>
      </c>
      <c r="C34" s="9">
        <v>7.7769388609553805E-2</v>
      </c>
      <c r="D34" s="9">
        <v>1</v>
      </c>
      <c r="E34" s="9">
        <v>3291489.3617021302</v>
      </c>
      <c r="F34" s="9">
        <v>200</v>
      </c>
      <c r="G34" s="9" t="s">
        <v>23</v>
      </c>
      <c r="H34" s="9">
        <v>100</v>
      </c>
      <c r="I34" s="9" t="s">
        <v>21</v>
      </c>
    </row>
    <row r="35" spans="1:9" x14ac:dyDescent="0.2">
      <c r="A35" s="9" t="s">
        <v>54</v>
      </c>
      <c r="B35" s="9">
        <v>200</v>
      </c>
      <c r="C35" s="9">
        <v>-2.1165006739280998E-3</v>
      </c>
      <c r="D35" s="9">
        <v>0.87036344216427497</v>
      </c>
      <c r="E35" s="9">
        <v>3291493.1117021302</v>
      </c>
      <c r="F35" s="9">
        <v>200</v>
      </c>
      <c r="G35" s="9" t="s">
        <v>23</v>
      </c>
      <c r="H35" s="9">
        <v>100</v>
      </c>
      <c r="I35" s="9" t="s">
        <v>21</v>
      </c>
    </row>
    <row r="36" spans="1:9" x14ac:dyDescent="0.2">
      <c r="A36" s="9" t="s">
        <v>55</v>
      </c>
      <c r="B36" s="9">
        <v>200</v>
      </c>
      <c r="C36" s="9">
        <v>-2.6825598454177799E-2</v>
      </c>
      <c r="D36" s="9">
        <v>0.34650287995774198</v>
      </c>
      <c r="E36" s="9">
        <v>3291493.1117021302</v>
      </c>
      <c r="F36" s="9">
        <v>0</v>
      </c>
      <c r="G36" s="9" t="s">
        <v>20</v>
      </c>
      <c r="H36" s="9">
        <v>100</v>
      </c>
      <c r="I36" s="9" t="s">
        <v>21</v>
      </c>
    </row>
    <row r="37" spans="1:9" x14ac:dyDescent="0.2">
      <c r="A37" s="9" t="s">
        <v>56</v>
      </c>
      <c r="B37" s="9">
        <v>227</v>
      </c>
      <c r="C37" s="9">
        <v>0.123614690608783</v>
      </c>
      <c r="D37" s="9">
        <v>1</v>
      </c>
      <c r="E37" s="9">
        <v>3293129.7617021301</v>
      </c>
      <c r="F37" s="9">
        <v>227</v>
      </c>
      <c r="G37" s="9" t="s">
        <v>23</v>
      </c>
      <c r="H37" s="9">
        <v>100</v>
      </c>
      <c r="I37" s="9" t="s">
        <v>21</v>
      </c>
    </row>
    <row r="38" spans="1:9" x14ac:dyDescent="0.2">
      <c r="A38" s="9" t="s">
        <v>57</v>
      </c>
      <c r="B38" s="9">
        <v>229</v>
      </c>
      <c r="C38" s="9">
        <v>3.26245899980908E-2</v>
      </c>
      <c r="D38" s="9">
        <v>1</v>
      </c>
      <c r="E38" s="9">
        <v>3291493.1117021302</v>
      </c>
      <c r="F38" s="9">
        <v>229</v>
      </c>
      <c r="G38" s="9" t="s">
        <v>23</v>
      </c>
      <c r="H38" s="9">
        <v>100</v>
      </c>
      <c r="I38" s="9" t="s">
        <v>21</v>
      </c>
    </row>
    <row r="39" spans="1:9" x14ac:dyDescent="0.2">
      <c r="A39" s="9" t="s">
        <v>58</v>
      </c>
      <c r="B39" s="9">
        <v>200</v>
      </c>
      <c r="C39" s="9">
        <v>0.117064664480382</v>
      </c>
      <c r="D39" s="9">
        <v>0.49700408075121</v>
      </c>
      <c r="E39" s="9">
        <v>3291493.1117021302</v>
      </c>
      <c r="F39" s="9">
        <v>0</v>
      </c>
      <c r="G39" s="9" t="s">
        <v>20</v>
      </c>
      <c r="H39" s="9">
        <v>100</v>
      </c>
      <c r="I39" s="9" t="s">
        <v>21</v>
      </c>
    </row>
    <row r="40" spans="1:9" x14ac:dyDescent="0.2">
      <c r="A40" s="9" t="s">
        <v>59</v>
      </c>
      <c r="B40" s="9">
        <v>200</v>
      </c>
      <c r="C40" s="9">
        <v>0.15895926392298801</v>
      </c>
      <c r="D40" s="9">
        <v>1</v>
      </c>
      <c r="E40" s="9">
        <v>3291490.41170213</v>
      </c>
      <c r="F40" s="9">
        <v>200</v>
      </c>
      <c r="G40" s="9" t="s">
        <v>23</v>
      </c>
      <c r="H40" s="9">
        <v>100</v>
      </c>
      <c r="I40" s="9" t="s">
        <v>21</v>
      </c>
    </row>
    <row r="41" spans="1:9" x14ac:dyDescent="0.2">
      <c r="A41" s="9" t="s">
        <v>60</v>
      </c>
      <c r="B41" s="9">
        <v>200</v>
      </c>
      <c r="C41" s="9">
        <v>0.27685440412368401</v>
      </c>
      <c r="D41" s="9">
        <v>0.76301111390991905</v>
      </c>
      <c r="E41" s="9">
        <v>3291493.1117021302</v>
      </c>
      <c r="F41" s="9">
        <v>0</v>
      </c>
      <c r="G41" s="9" t="s">
        <v>20</v>
      </c>
      <c r="H41" s="9">
        <v>100</v>
      </c>
      <c r="I41" s="9" t="s">
        <v>21</v>
      </c>
    </row>
    <row r="42" spans="1:9" x14ac:dyDescent="0.2">
      <c r="A42" s="9" t="s">
        <v>61</v>
      </c>
      <c r="B42" s="9">
        <v>200</v>
      </c>
      <c r="C42" s="9">
        <v>-2.7469327706829201E-2</v>
      </c>
      <c r="D42" s="9">
        <v>0.76595326747154702</v>
      </c>
      <c r="E42" s="9">
        <v>3291493.1117021302</v>
      </c>
      <c r="F42" s="9">
        <v>0</v>
      </c>
      <c r="G42" s="9" t="s">
        <v>20</v>
      </c>
      <c r="H42" s="9">
        <v>100</v>
      </c>
      <c r="I42" s="9" t="s">
        <v>21</v>
      </c>
    </row>
    <row r="43" spans="1:9" x14ac:dyDescent="0.2">
      <c r="A43" s="9" t="s">
        <v>62</v>
      </c>
      <c r="B43" s="9">
        <v>200</v>
      </c>
      <c r="C43" s="9">
        <v>-0.100612195465131</v>
      </c>
      <c r="D43" s="9">
        <v>1</v>
      </c>
      <c r="E43" s="9">
        <v>3291489.3617021302</v>
      </c>
      <c r="F43" s="9">
        <v>200</v>
      </c>
      <c r="G43" s="9" t="s">
        <v>23</v>
      </c>
      <c r="H43" s="9">
        <v>100</v>
      </c>
      <c r="I43" s="9" t="s">
        <v>21</v>
      </c>
    </row>
    <row r="44" spans="1:9" x14ac:dyDescent="0.2">
      <c r="A44" s="9" t="s">
        <v>63</v>
      </c>
      <c r="B44" s="9">
        <v>200</v>
      </c>
      <c r="C44" s="9">
        <v>5.5596302147819299E-2</v>
      </c>
      <c r="D44" s="9">
        <v>0.96094069094189105</v>
      </c>
      <c r="E44" s="9">
        <v>3291610.7117021298</v>
      </c>
      <c r="F44" s="9">
        <v>200</v>
      </c>
      <c r="G44" s="9" t="s">
        <v>23</v>
      </c>
      <c r="H44" s="9">
        <v>100</v>
      </c>
      <c r="I44" s="9" t="s">
        <v>21</v>
      </c>
    </row>
    <row r="45" spans="1:9" x14ac:dyDescent="0.2">
      <c r="A45" s="9" t="s">
        <v>64</v>
      </c>
      <c r="B45" s="9">
        <v>200</v>
      </c>
      <c r="C45" s="9">
        <v>-0.112187534643948</v>
      </c>
      <c r="D45" s="9">
        <v>0.79707937691363195</v>
      </c>
      <c r="E45" s="9">
        <v>3291493.1117021302</v>
      </c>
      <c r="F45" s="9">
        <v>0</v>
      </c>
      <c r="G45" s="9" t="s">
        <v>20</v>
      </c>
      <c r="H45" s="9">
        <v>100</v>
      </c>
      <c r="I45" s="9" t="s">
        <v>21</v>
      </c>
    </row>
    <row r="46" spans="1:9" x14ac:dyDescent="0.2">
      <c r="A46" s="9" t="s">
        <v>65</v>
      </c>
      <c r="B46" s="9">
        <v>209</v>
      </c>
      <c r="C46" s="9">
        <v>7.6423497559423403E-2</v>
      </c>
      <c r="D46" s="9">
        <v>1</v>
      </c>
      <c r="E46" s="9">
        <v>3291489.3617021302</v>
      </c>
      <c r="F46" s="9">
        <v>209</v>
      </c>
      <c r="G46" s="9" t="s">
        <v>23</v>
      </c>
      <c r="H46" s="9">
        <v>100</v>
      </c>
      <c r="I46" s="9" t="s">
        <v>21</v>
      </c>
    </row>
    <row r="47" spans="1:9" x14ac:dyDescent="0.2">
      <c r="A47" s="9" t="s">
        <v>66</v>
      </c>
      <c r="B47" s="9">
        <v>200</v>
      </c>
      <c r="C47" s="9">
        <v>0.10864880196715899</v>
      </c>
      <c r="D47" s="9">
        <v>0.88141022342611097</v>
      </c>
      <c r="E47" s="9">
        <v>3291489.3617021302</v>
      </c>
      <c r="F47" s="9">
        <v>195</v>
      </c>
      <c r="G47" s="9" t="s">
        <v>21</v>
      </c>
      <c r="H47" s="9">
        <v>100</v>
      </c>
      <c r="I47" s="9" t="s">
        <v>21</v>
      </c>
    </row>
    <row r="48" spans="1:9" x14ac:dyDescent="0.2">
      <c r="A48" s="9" t="s">
        <v>67</v>
      </c>
      <c r="B48" s="9">
        <v>200</v>
      </c>
      <c r="C48" s="9">
        <v>-0.41117090563721898</v>
      </c>
      <c r="D48" s="9">
        <v>1</v>
      </c>
      <c r="E48" s="9">
        <v>3294156.3617021302</v>
      </c>
      <c r="F48" s="9">
        <v>0</v>
      </c>
      <c r="G48" s="9" t="s">
        <v>20</v>
      </c>
      <c r="H48" s="9">
        <v>100</v>
      </c>
      <c r="I48" s="9" t="s">
        <v>21</v>
      </c>
    </row>
    <row r="49" spans="1:9" x14ac:dyDescent="0.2">
      <c r="A49" s="9" t="s">
        <v>68</v>
      </c>
      <c r="B49" s="9">
        <v>200</v>
      </c>
      <c r="C49" s="9">
        <v>-0.123470401575515</v>
      </c>
      <c r="D49" s="9">
        <v>9.9999999999999995E-7</v>
      </c>
      <c r="E49" s="9">
        <v>3291489.3617021302</v>
      </c>
      <c r="F49" s="9">
        <v>0</v>
      </c>
      <c r="G49" s="9" t="s">
        <v>20</v>
      </c>
      <c r="H49" s="9">
        <v>100</v>
      </c>
      <c r="I49" s="9" t="s">
        <v>21</v>
      </c>
    </row>
    <row r="51" spans="1:9" x14ac:dyDescent="0.2">
      <c r="A51" s="6" t="s">
        <v>69</v>
      </c>
    </row>
    <row r="52" spans="1:9" x14ac:dyDescent="0.2">
      <c r="A52" s="6" t="s">
        <v>70</v>
      </c>
    </row>
  </sheetData>
  <mergeCells count="1">
    <mergeCell ref="A1:I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4DECF-C68D-B24C-A70F-3582DF7CFBF1}">
  <dimension ref="A1:G223"/>
  <sheetViews>
    <sheetView showGridLines="0" workbookViewId="0">
      <selection activeCell="K223" sqref="K223"/>
    </sheetView>
  </sheetViews>
  <sheetFormatPr baseColWidth="10" defaultRowHeight="15" outlineLevelRow="1" x14ac:dyDescent="0.2"/>
  <cols>
    <col min="1" max="1" width="2.33203125" customWidth="1"/>
    <col min="2" max="2" width="16.33203125" bestFit="1" customWidth="1"/>
    <col min="3" max="3" width="17.6640625" bestFit="1" customWidth="1"/>
    <col min="4" max="4" width="12.1640625" bestFit="1" customWidth="1"/>
    <col min="5" max="5" width="13" bestFit="1" customWidth="1"/>
    <col min="6" max="6" width="10.1640625" bestFit="1" customWidth="1"/>
    <col min="7" max="7" width="12.1640625" bestFit="1" customWidth="1"/>
  </cols>
  <sheetData>
    <row r="1" spans="1:5" x14ac:dyDescent="0.2">
      <c r="A1" s="19" t="s">
        <v>128</v>
      </c>
    </row>
    <row r="2" spans="1:5" x14ac:dyDescent="0.2">
      <c r="A2" s="19" t="s">
        <v>129</v>
      </c>
    </row>
    <row r="3" spans="1:5" x14ac:dyDescent="0.2">
      <c r="A3" s="19" t="s">
        <v>130</v>
      </c>
    </row>
    <row r="4" spans="1:5" x14ac:dyDescent="0.2">
      <c r="A4" s="19" t="s">
        <v>131</v>
      </c>
    </row>
    <row r="5" spans="1:5" x14ac:dyDescent="0.2">
      <c r="A5" s="19" t="s">
        <v>132</v>
      </c>
    </row>
    <row r="6" spans="1:5" hidden="1" outlineLevel="1" x14ac:dyDescent="0.2">
      <c r="A6" s="19"/>
      <c r="B6" t="s">
        <v>133</v>
      </c>
    </row>
    <row r="7" spans="1:5" hidden="1" outlineLevel="1" x14ac:dyDescent="0.2">
      <c r="A7" s="19"/>
      <c r="B7" t="s">
        <v>134</v>
      </c>
    </row>
    <row r="8" spans="1:5" hidden="1" outlineLevel="1" x14ac:dyDescent="0.2">
      <c r="A8" s="19"/>
      <c r="B8" t="s">
        <v>135</v>
      </c>
    </row>
    <row r="9" spans="1:5" collapsed="1" x14ac:dyDescent="0.2">
      <c r="A9" s="19" t="s">
        <v>136</v>
      </c>
    </row>
    <row r="10" spans="1:5" hidden="1" outlineLevel="1" x14ac:dyDescent="0.2">
      <c r="B10" t="s">
        <v>137</v>
      </c>
    </row>
    <row r="11" spans="1:5" hidden="1" outlineLevel="1" x14ac:dyDescent="0.2">
      <c r="B11" t="s">
        <v>138</v>
      </c>
    </row>
    <row r="12" spans="1:5" collapsed="1" x14ac:dyDescent="0.2"/>
    <row r="14" spans="1:5" ht="16" thickBot="1" x14ac:dyDescent="0.25">
      <c r="A14" t="s">
        <v>139</v>
      </c>
    </row>
    <row r="15" spans="1:5" ht="16" thickBot="1" x14ac:dyDescent="0.25">
      <c r="B15" s="28" t="s">
        <v>140</v>
      </c>
      <c r="C15" s="28" t="s">
        <v>141</v>
      </c>
      <c r="D15" s="28" t="s">
        <v>142</v>
      </c>
      <c r="E15" s="28" t="s">
        <v>143</v>
      </c>
    </row>
    <row r="16" spans="1:5" ht="16" thickBot="1" x14ac:dyDescent="0.25">
      <c r="B16" s="20" t="s">
        <v>151</v>
      </c>
      <c r="C16" s="20" t="s">
        <v>92</v>
      </c>
      <c r="D16" s="20">
        <v>3216.6189862085748</v>
      </c>
      <c r="E16" s="20">
        <v>3216.6189862085748</v>
      </c>
    </row>
    <row r="19" spans="1:6" ht="16" thickBot="1" x14ac:dyDescent="0.25">
      <c r="A19" t="s">
        <v>144</v>
      </c>
    </row>
    <row r="20" spans="1:6" ht="16" thickBot="1" x14ac:dyDescent="0.25">
      <c r="B20" s="28" t="s">
        <v>140</v>
      </c>
      <c r="C20" s="28" t="s">
        <v>140</v>
      </c>
      <c r="D20" s="28" t="s">
        <v>140</v>
      </c>
      <c r="E20" s="28" t="s">
        <v>140</v>
      </c>
      <c r="F20" s="28" t="s">
        <v>140</v>
      </c>
    </row>
    <row r="21" spans="1:6" x14ac:dyDescent="0.2">
      <c r="B21" s="26" t="s">
        <v>444</v>
      </c>
      <c r="C21" s="25"/>
      <c r="D21" s="25"/>
      <c r="E21" s="25"/>
      <c r="F21" s="25"/>
    </row>
    <row r="22" spans="1:6" ht="32" hidden="1" outlineLevel="1" x14ac:dyDescent="0.2">
      <c r="B22" s="21" t="s">
        <v>152</v>
      </c>
      <c r="C22" s="22" t="s">
        <v>153</v>
      </c>
      <c r="D22" s="21">
        <v>0</v>
      </c>
      <c r="E22" s="21">
        <v>0</v>
      </c>
      <c r="F22" s="21" t="s">
        <v>442</v>
      </c>
    </row>
    <row r="23" spans="1:6" ht="32" hidden="1" outlineLevel="1" x14ac:dyDescent="0.2">
      <c r="B23" s="21" t="s">
        <v>154</v>
      </c>
      <c r="C23" s="22" t="s">
        <v>155</v>
      </c>
      <c r="D23" s="21">
        <v>0</v>
      </c>
      <c r="E23" s="21">
        <v>0</v>
      </c>
      <c r="F23" s="21" t="s">
        <v>145</v>
      </c>
    </row>
    <row r="24" spans="1:6" ht="32" hidden="1" outlineLevel="1" x14ac:dyDescent="0.2">
      <c r="B24" s="21" t="s">
        <v>156</v>
      </c>
      <c r="C24" s="22" t="s">
        <v>157</v>
      </c>
      <c r="D24" s="21">
        <v>1</v>
      </c>
      <c r="E24" s="21">
        <v>1</v>
      </c>
      <c r="F24" s="21" t="s">
        <v>442</v>
      </c>
    </row>
    <row r="25" spans="1:6" ht="32" hidden="1" outlineLevel="1" x14ac:dyDescent="0.2">
      <c r="B25" s="21" t="s">
        <v>158</v>
      </c>
      <c r="C25" s="22" t="s">
        <v>159</v>
      </c>
      <c r="D25" s="21">
        <v>200</v>
      </c>
      <c r="E25" s="21">
        <v>200</v>
      </c>
      <c r="F25" s="21" t="s">
        <v>145</v>
      </c>
    </row>
    <row r="26" spans="1:6" ht="32" hidden="1" outlineLevel="1" x14ac:dyDescent="0.2">
      <c r="B26" s="21" t="s">
        <v>160</v>
      </c>
      <c r="C26" s="22" t="s">
        <v>161</v>
      </c>
      <c r="D26" s="21">
        <v>1</v>
      </c>
      <c r="E26" s="21">
        <v>1</v>
      </c>
      <c r="F26" s="21" t="s">
        <v>442</v>
      </c>
    </row>
    <row r="27" spans="1:6" ht="32" hidden="1" outlineLevel="1" x14ac:dyDescent="0.2">
      <c r="B27" s="21" t="s">
        <v>162</v>
      </c>
      <c r="C27" s="22" t="s">
        <v>163</v>
      </c>
      <c r="D27" s="21">
        <v>205</v>
      </c>
      <c r="E27" s="21">
        <v>205</v>
      </c>
      <c r="F27" s="21" t="s">
        <v>145</v>
      </c>
    </row>
    <row r="28" spans="1:6" ht="32" hidden="1" outlineLevel="1" x14ac:dyDescent="0.2">
      <c r="B28" s="21" t="s">
        <v>164</v>
      </c>
      <c r="C28" s="22" t="s">
        <v>165</v>
      </c>
      <c r="D28" s="21">
        <v>1</v>
      </c>
      <c r="E28" s="21">
        <v>1</v>
      </c>
      <c r="F28" s="21" t="s">
        <v>442</v>
      </c>
    </row>
    <row r="29" spans="1:6" ht="32" hidden="1" outlineLevel="1" x14ac:dyDescent="0.2">
      <c r="B29" s="21" t="s">
        <v>166</v>
      </c>
      <c r="C29" s="22" t="s">
        <v>167</v>
      </c>
      <c r="D29" s="21">
        <v>100</v>
      </c>
      <c r="E29" s="21">
        <v>100</v>
      </c>
      <c r="F29" s="21" t="s">
        <v>145</v>
      </c>
    </row>
    <row r="30" spans="1:6" ht="32" hidden="1" outlineLevel="1" x14ac:dyDescent="0.2">
      <c r="B30" s="21" t="s">
        <v>168</v>
      </c>
      <c r="C30" s="22" t="s">
        <v>169</v>
      </c>
      <c r="D30" s="21">
        <v>0</v>
      </c>
      <c r="E30" s="21">
        <v>0</v>
      </c>
      <c r="F30" s="21" t="s">
        <v>442</v>
      </c>
    </row>
    <row r="31" spans="1:6" ht="32" hidden="1" outlineLevel="1" x14ac:dyDescent="0.2">
      <c r="B31" s="21" t="s">
        <v>170</v>
      </c>
      <c r="C31" s="22" t="s">
        <v>171</v>
      </c>
      <c r="D31" s="21">
        <v>0</v>
      </c>
      <c r="E31" s="21">
        <v>0</v>
      </c>
      <c r="F31" s="21" t="s">
        <v>145</v>
      </c>
    </row>
    <row r="32" spans="1:6" ht="32" hidden="1" outlineLevel="1" x14ac:dyDescent="0.2">
      <c r="B32" s="21" t="s">
        <v>172</v>
      </c>
      <c r="C32" s="22" t="s">
        <v>173</v>
      </c>
      <c r="D32" s="21">
        <v>1</v>
      </c>
      <c r="E32" s="21">
        <v>1</v>
      </c>
      <c r="F32" s="21" t="s">
        <v>442</v>
      </c>
    </row>
    <row r="33" spans="2:6" ht="32" hidden="1" outlineLevel="1" x14ac:dyDescent="0.2">
      <c r="B33" s="21" t="s">
        <v>174</v>
      </c>
      <c r="C33" s="22" t="s">
        <v>175</v>
      </c>
      <c r="D33" s="21">
        <v>200</v>
      </c>
      <c r="E33" s="21">
        <v>200</v>
      </c>
      <c r="F33" s="21" t="s">
        <v>145</v>
      </c>
    </row>
    <row r="34" spans="2:6" ht="32" hidden="1" outlineLevel="1" x14ac:dyDescent="0.2">
      <c r="B34" s="21" t="s">
        <v>176</v>
      </c>
      <c r="C34" s="22" t="s">
        <v>177</v>
      </c>
      <c r="D34" s="21">
        <v>0</v>
      </c>
      <c r="E34" s="21">
        <v>0</v>
      </c>
      <c r="F34" s="21" t="s">
        <v>442</v>
      </c>
    </row>
    <row r="35" spans="2:6" ht="32" hidden="1" outlineLevel="1" x14ac:dyDescent="0.2">
      <c r="B35" s="21" t="s">
        <v>178</v>
      </c>
      <c r="C35" s="22" t="s">
        <v>179</v>
      </c>
      <c r="D35" s="21">
        <v>0</v>
      </c>
      <c r="E35" s="21">
        <v>0</v>
      </c>
      <c r="F35" s="21" t="s">
        <v>145</v>
      </c>
    </row>
    <row r="36" spans="2:6" ht="32" hidden="1" outlineLevel="1" x14ac:dyDescent="0.2">
      <c r="B36" s="21" t="s">
        <v>180</v>
      </c>
      <c r="C36" s="22" t="s">
        <v>181</v>
      </c>
      <c r="D36" s="21">
        <v>0</v>
      </c>
      <c r="E36" s="21">
        <v>0</v>
      </c>
      <c r="F36" s="21" t="s">
        <v>442</v>
      </c>
    </row>
    <row r="37" spans="2:6" ht="32" hidden="1" outlineLevel="1" x14ac:dyDescent="0.2">
      <c r="B37" s="21" t="s">
        <v>182</v>
      </c>
      <c r="C37" s="22" t="s">
        <v>183</v>
      </c>
      <c r="D37" s="21">
        <v>0</v>
      </c>
      <c r="E37" s="21">
        <v>0</v>
      </c>
      <c r="F37" s="21" t="s">
        <v>145</v>
      </c>
    </row>
    <row r="38" spans="2:6" ht="32" hidden="1" outlineLevel="1" x14ac:dyDescent="0.2">
      <c r="B38" s="21" t="s">
        <v>184</v>
      </c>
      <c r="C38" s="22" t="s">
        <v>185</v>
      </c>
      <c r="D38" s="21">
        <v>0</v>
      </c>
      <c r="E38" s="21">
        <v>0</v>
      </c>
      <c r="F38" s="21" t="s">
        <v>442</v>
      </c>
    </row>
    <row r="39" spans="2:6" ht="32" hidden="1" outlineLevel="1" x14ac:dyDescent="0.2">
      <c r="B39" s="21" t="s">
        <v>186</v>
      </c>
      <c r="C39" s="22" t="s">
        <v>187</v>
      </c>
      <c r="D39" s="21">
        <v>0</v>
      </c>
      <c r="E39" s="21">
        <v>0</v>
      </c>
      <c r="F39" s="21" t="s">
        <v>145</v>
      </c>
    </row>
    <row r="40" spans="2:6" ht="32" hidden="1" outlineLevel="1" x14ac:dyDescent="0.2">
      <c r="B40" s="21" t="s">
        <v>188</v>
      </c>
      <c r="C40" s="22" t="s">
        <v>189</v>
      </c>
      <c r="D40" s="21">
        <v>0</v>
      </c>
      <c r="E40" s="21">
        <v>0</v>
      </c>
      <c r="F40" s="21" t="s">
        <v>442</v>
      </c>
    </row>
    <row r="41" spans="2:6" ht="32" hidden="1" outlineLevel="1" x14ac:dyDescent="0.2">
      <c r="B41" s="21" t="s">
        <v>190</v>
      </c>
      <c r="C41" s="22" t="s">
        <v>191</v>
      </c>
      <c r="D41" s="21">
        <v>0</v>
      </c>
      <c r="E41" s="21">
        <v>0</v>
      </c>
      <c r="F41" s="21" t="s">
        <v>145</v>
      </c>
    </row>
    <row r="42" spans="2:6" ht="32" hidden="1" outlineLevel="1" x14ac:dyDescent="0.2">
      <c r="B42" s="21" t="s">
        <v>192</v>
      </c>
      <c r="C42" s="22" t="s">
        <v>193</v>
      </c>
      <c r="D42" s="21">
        <v>1</v>
      </c>
      <c r="E42" s="21">
        <v>1</v>
      </c>
      <c r="F42" s="21" t="s">
        <v>442</v>
      </c>
    </row>
    <row r="43" spans="2:6" ht="32" hidden="1" outlineLevel="1" x14ac:dyDescent="0.2">
      <c r="B43" s="21" t="s">
        <v>194</v>
      </c>
      <c r="C43" s="22" t="s">
        <v>195</v>
      </c>
      <c r="D43" s="21">
        <v>232</v>
      </c>
      <c r="E43" s="21">
        <v>232</v>
      </c>
      <c r="F43" s="21" t="s">
        <v>145</v>
      </c>
    </row>
    <row r="44" spans="2:6" ht="32" hidden="1" outlineLevel="1" x14ac:dyDescent="0.2">
      <c r="B44" s="21" t="s">
        <v>196</v>
      </c>
      <c r="C44" s="22" t="s">
        <v>197</v>
      </c>
      <c r="D44" s="21">
        <v>0</v>
      </c>
      <c r="E44" s="21">
        <v>0</v>
      </c>
      <c r="F44" s="21" t="s">
        <v>442</v>
      </c>
    </row>
    <row r="45" spans="2:6" ht="32" hidden="1" outlineLevel="1" x14ac:dyDescent="0.2">
      <c r="B45" s="21" t="s">
        <v>198</v>
      </c>
      <c r="C45" s="22" t="s">
        <v>199</v>
      </c>
      <c r="D45" s="21">
        <v>0</v>
      </c>
      <c r="E45" s="21">
        <v>0</v>
      </c>
      <c r="F45" s="21" t="s">
        <v>145</v>
      </c>
    </row>
    <row r="46" spans="2:6" ht="32" hidden="1" outlineLevel="1" x14ac:dyDescent="0.2">
      <c r="B46" s="21" t="s">
        <v>200</v>
      </c>
      <c r="C46" s="22" t="s">
        <v>201</v>
      </c>
      <c r="D46" s="21">
        <v>1</v>
      </c>
      <c r="E46" s="21">
        <v>1</v>
      </c>
      <c r="F46" s="21" t="s">
        <v>442</v>
      </c>
    </row>
    <row r="47" spans="2:6" ht="32" hidden="1" outlineLevel="1" x14ac:dyDescent="0.2">
      <c r="B47" s="21" t="s">
        <v>202</v>
      </c>
      <c r="C47" s="22" t="s">
        <v>203</v>
      </c>
      <c r="D47" s="21">
        <v>200</v>
      </c>
      <c r="E47" s="21">
        <v>200</v>
      </c>
      <c r="F47" s="21" t="s">
        <v>145</v>
      </c>
    </row>
    <row r="48" spans="2:6" ht="32" hidden="1" outlineLevel="1" x14ac:dyDescent="0.2">
      <c r="B48" s="21" t="s">
        <v>204</v>
      </c>
      <c r="C48" s="22" t="s">
        <v>205</v>
      </c>
      <c r="D48" s="21">
        <v>1</v>
      </c>
      <c r="E48" s="21">
        <v>1</v>
      </c>
      <c r="F48" s="21" t="s">
        <v>442</v>
      </c>
    </row>
    <row r="49" spans="2:6" ht="32" hidden="1" outlineLevel="1" x14ac:dyDescent="0.2">
      <c r="B49" s="21" t="s">
        <v>206</v>
      </c>
      <c r="C49" s="22" t="s">
        <v>207</v>
      </c>
      <c r="D49" s="21">
        <v>200</v>
      </c>
      <c r="E49" s="21">
        <v>200</v>
      </c>
      <c r="F49" s="21" t="s">
        <v>145</v>
      </c>
    </row>
    <row r="50" spans="2:6" ht="32" hidden="1" outlineLevel="1" x14ac:dyDescent="0.2">
      <c r="B50" s="21" t="s">
        <v>208</v>
      </c>
      <c r="C50" s="22" t="s">
        <v>209</v>
      </c>
      <c r="D50" s="21">
        <v>1</v>
      </c>
      <c r="E50" s="21">
        <v>1</v>
      </c>
      <c r="F50" s="21" t="s">
        <v>442</v>
      </c>
    </row>
    <row r="51" spans="2:6" ht="32" hidden="1" outlineLevel="1" x14ac:dyDescent="0.2">
      <c r="B51" s="21" t="s">
        <v>210</v>
      </c>
      <c r="C51" s="22" t="s">
        <v>211</v>
      </c>
      <c r="D51" s="21">
        <v>200</v>
      </c>
      <c r="E51" s="21">
        <v>200</v>
      </c>
      <c r="F51" s="21" t="s">
        <v>145</v>
      </c>
    </row>
    <row r="52" spans="2:6" ht="32" hidden="1" outlineLevel="1" x14ac:dyDescent="0.2">
      <c r="B52" s="21" t="s">
        <v>212</v>
      </c>
      <c r="C52" s="22" t="s">
        <v>213</v>
      </c>
      <c r="D52" s="21">
        <v>0</v>
      </c>
      <c r="E52" s="21">
        <v>0</v>
      </c>
      <c r="F52" s="21" t="s">
        <v>442</v>
      </c>
    </row>
    <row r="53" spans="2:6" ht="32" hidden="1" outlineLevel="1" x14ac:dyDescent="0.2">
      <c r="B53" s="21" t="s">
        <v>214</v>
      </c>
      <c r="C53" s="22" t="s">
        <v>215</v>
      </c>
      <c r="D53" s="21">
        <v>0</v>
      </c>
      <c r="E53" s="21">
        <v>0</v>
      </c>
      <c r="F53" s="21" t="s">
        <v>145</v>
      </c>
    </row>
    <row r="54" spans="2:6" ht="32" hidden="1" outlineLevel="1" x14ac:dyDescent="0.2">
      <c r="B54" s="21" t="s">
        <v>216</v>
      </c>
      <c r="C54" s="22" t="s">
        <v>217</v>
      </c>
      <c r="D54" s="21">
        <v>1</v>
      </c>
      <c r="E54" s="21">
        <v>1</v>
      </c>
      <c r="F54" s="21" t="s">
        <v>442</v>
      </c>
    </row>
    <row r="55" spans="2:6" ht="32" hidden="1" outlineLevel="1" x14ac:dyDescent="0.2">
      <c r="B55" s="21" t="s">
        <v>218</v>
      </c>
      <c r="C55" s="22" t="s">
        <v>219</v>
      </c>
      <c r="D55" s="21">
        <v>232</v>
      </c>
      <c r="E55" s="21">
        <v>232</v>
      </c>
      <c r="F55" s="21" t="s">
        <v>145</v>
      </c>
    </row>
    <row r="56" spans="2:6" ht="32" hidden="1" outlineLevel="1" x14ac:dyDescent="0.2">
      <c r="B56" s="21" t="s">
        <v>220</v>
      </c>
      <c r="C56" s="22" t="s">
        <v>221</v>
      </c>
      <c r="D56" s="21">
        <v>0</v>
      </c>
      <c r="E56" s="21">
        <v>0</v>
      </c>
      <c r="F56" s="21" t="s">
        <v>442</v>
      </c>
    </row>
    <row r="57" spans="2:6" ht="32" hidden="1" outlineLevel="1" x14ac:dyDescent="0.2">
      <c r="B57" s="21" t="s">
        <v>222</v>
      </c>
      <c r="C57" s="22" t="s">
        <v>223</v>
      </c>
      <c r="D57" s="21">
        <v>0</v>
      </c>
      <c r="E57" s="21">
        <v>0</v>
      </c>
      <c r="F57" s="21" t="s">
        <v>145</v>
      </c>
    </row>
    <row r="58" spans="2:6" ht="32" hidden="1" outlineLevel="1" x14ac:dyDescent="0.2">
      <c r="B58" s="21" t="s">
        <v>224</v>
      </c>
      <c r="C58" s="22" t="s">
        <v>225</v>
      </c>
      <c r="D58" s="21">
        <v>1</v>
      </c>
      <c r="E58" s="21">
        <v>1</v>
      </c>
      <c r="F58" s="21" t="s">
        <v>442</v>
      </c>
    </row>
    <row r="59" spans="2:6" ht="32" hidden="1" outlineLevel="1" x14ac:dyDescent="0.2">
      <c r="B59" s="21" t="s">
        <v>226</v>
      </c>
      <c r="C59" s="22" t="s">
        <v>227</v>
      </c>
      <c r="D59" s="21">
        <v>200</v>
      </c>
      <c r="E59" s="21">
        <v>200</v>
      </c>
      <c r="F59" s="21" t="s">
        <v>145</v>
      </c>
    </row>
    <row r="60" spans="2:6" ht="32" hidden="1" outlineLevel="1" x14ac:dyDescent="0.2">
      <c r="B60" s="21" t="s">
        <v>228</v>
      </c>
      <c r="C60" s="22" t="s">
        <v>229</v>
      </c>
      <c r="D60" s="21">
        <v>1</v>
      </c>
      <c r="E60" s="21">
        <v>1</v>
      </c>
      <c r="F60" s="21" t="s">
        <v>442</v>
      </c>
    </row>
    <row r="61" spans="2:6" ht="32" hidden="1" outlineLevel="1" x14ac:dyDescent="0.2">
      <c r="B61" s="21" t="s">
        <v>230</v>
      </c>
      <c r="C61" s="22" t="s">
        <v>231</v>
      </c>
      <c r="D61" s="21">
        <v>261</v>
      </c>
      <c r="E61" s="21">
        <v>261</v>
      </c>
      <c r="F61" s="21" t="s">
        <v>145</v>
      </c>
    </row>
    <row r="62" spans="2:6" ht="32" hidden="1" outlineLevel="1" x14ac:dyDescent="0.2">
      <c r="B62" s="21" t="s">
        <v>232</v>
      </c>
      <c r="C62" s="22" t="s">
        <v>233</v>
      </c>
      <c r="D62" s="21">
        <v>0</v>
      </c>
      <c r="E62" s="21">
        <v>0</v>
      </c>
      <c r="F62" s="21" t="s">
        <v>442</v>
      </c>
    </row>
    <row r="63" spans="2:6" ht="32" hidden="1" outlineLevel="1" x14ac:dyDescent="0.2">
      <c r="B63" s="21" t="s">
        <v>234</v>
      </c>
      <c r="C63" s="22" t="s">
        <v>235</v>
      </c>
      <c r="D63" s="21">
        <v>0</v>
      </c>
      <c r="E63" s="21">
        <v>0</v>
      </c>
      <c r="F63" s="21" t="s">
        <v>145</v>
      </c>
    </row>
    <row r="64" spans="2:6" ht="32" hidden="1" outlineLevel="1" x14ac:dyDescent="0.2">
      <c r="B64" s="21" t="s">
        <v>236</v>
      </c>
      <c r="C64" s="22" t="s">
        <v>237</v>
      </c>
      <c r="D64" s="21">
        <v>0</v>
      </c>
      <c r="E64" s="21">
        <v>0</v>
      </c>
      <c r="F64" s="21" t="s">
        <v>442</v>
      </c>
    </row>
    <row r="65" spans="2:6" ht="32" hidden="1" outlineLevel="1" x14ac:dyDescent="0.2">
      <c r="B65" s="21" t="s">
        <v>238</v>
      </c>
      <c r="C65" s="22" t="s">
        <v>239</v>
      </c>
      <c r="D65" s="21">
        <v>0</v>
      </c>
      <c r="E65" s="21">
        <v>0</v>
      </c>
      <c r="F65" s="21" t="s">
        <v>145</v>
      </c>
    </row>
    <row r="66" spans="2:6" ht="32" hidden="1" outlineLevel="1" x14ac:dyDescent="0.2">
      <c r="B66" s="21" t="s">
        <v>240</v>
      </c>
      <c r="C66" s="22" t="s">
        <v>241</v>
      </c>
      <c r="D66" s="21">
        <v>0</v>
      </c>
      <c r="E66" s="21">
        <v>0</v>
      </c>
      <c r="F66" s="21" t="s">
        <v>442</v>
      </c>
    </row>
    <row r="67" spans="2:6" ht="32" hidden="1" outlineLevel="1" x14ac:dyDescent="0.2">
      <c r="B67" s="21" t="s">
        <v>242</v>
      </c>
      <c r="C67" s="22" t="s">
        <v>243</v>
      </c>
      <c r="D67" s="21">
        <v>0</v>
      </c>
      <c r="E67" s="21">
        <v>0</v>
      </c>
      <c r="F67" s="21" t="s">
        <v>145</v>
      </c>
    </row>
    <row r="68" spans="2:6" ht="32" hidden="1" outlineLevel="1" x14ac:dyDescent="0.2">
      <c r="B68" s="21" t="s">
        <v>244</v>
      </c>
      <c r="C68" s="22" t="s">
        <v>245</v>
      </c>
      <c r="D68" s="21">
        <v>1</v>
      </c>
      <c r="E68" s="21">
        <v>1</v>
      </c>
      <c r="F68" s="21" t="s">
        <v>442</v>
      </c>
    </row>
    <row r="69" spans="2:6" ht="32" hidden="1" outlineLevel="1" x14ac:dyDescent="0.2">
      <c r="B69" s="21" t="s">
        <v>246</v>
      </c>
      <c r="C69" s="22" t="s">
        <v>247</v>
      </c>
      <c r="D69" s="21">
        <v>200</v>
      </c>
      <c r="E69" s="21">
        <v>200</v>
      </c>
      <c r="F69" s="21" t="s">
        <v>145</v>
      </c>
    </row>
    <row r="70" spans="2:6" ht="32" hidden="1" outlineLevel="1" x14ac:dyDescent="0.2">
      <c r="B70" s="21" t="s">
        <v>248</v>
      </c>
      <c r="C70" s="22" t="s">
        <v>249</v>
      </c>
      <c r="D70" s="21">
        <v>0</v>
      </c>
      <c r="E70" s="21">
        <v>0</v>
      </c>
      <c r="F70" s="21" t="s">
        <v>442</v>
      </c>
    </row>
    <row r="71" spans="2:6" ht="32" hidden="1" outlineLevel="1" x14ac:dyDescent="0.2">
      <c r="B71" s="21" t="s">
        <v>250</v>
      </c>
      <c r="C71" s="22" t="s">
        <v>251</v>
      </c>
      <c r="D71" s="21">
        <v>0</v>
      </c>
      <c r="E71" s="21">
        <v>0</v>
      </c>
      <c r="F71" s="21" t="s">
        <v>145</v>
      </c>
    </row>
    <row r="72" spans="2:6" ht="32" hidden="1" outlineLevel="1" x14ac:dyDescent="0.2">
      <c r="B72" s="21" t="s">
        <v>252</v>
      </c>
      <c r="C72" s="22" t="s">
        <v>253</v>
      </c>
      <c r="D72" s="21">
        <v>1</v>
      </c>
      <c r="E72" s="21">
        <v>1</v>
      </c>
      <c r="F72" s="21" t="s">
        <v>442</v>
      </c>
    </row>
    <row r="73" spans="2:6" ht="32" hidden="1" outlineLevel="1" x14ac:dyDescent="0.2">
      <c r="B73" s="21" t="s">
        <v>254</v>
      </c>
      <c r="C73" s="22" t="s">
        <v>255</v>
      </c>
      <c r="D73" s="21">
        <v>200</v>
      </c>
      <c r="E73" s="21">
        <v>200</v>
      </c>
      <c r="F73" s="21" t="s">
        <v>145</v>
      </c>
    </row>
    <row r="74" spans="2:6" ht="32" hidden="1" outlineLevel="1" x14ac:dyDescent="0.2">
      <c r="B74" s="21" t="s">
        <v>256</v>
      </c>
      <c r="C74" s="22" t="s">
        <v>257</v>
      </c>
      <c r="D74" s="21">
        <v>1</v>
      </c>
      <c r="E74" s="21">
        <v>1</v>
      </c>
      <c r="F74" s="21" t="s">
        <v>442</v>
      </c>
    </row>
    <row r="75" spans="2:6" ht="32" hidden="1" outlineLevel="1" x14ac:dyDescent="0.2">
      <c r="B75" s="21" t="s">
        <v>258</v>
      </c>
      <c r="C75" s="22" t="s">
        <v>259</v>
      </c>
      <c r="D75" s="21">
        <v>202</v>
      </c>
      <c r="E75" s="21">
        <v>202</v>
      </c>
      <c r="F75" s="21" t="s">
        <v>145</v>
      </c>
    </row>
    <row r="76" spans="2:6" ht="32" hidden="1" outlineLevel="1" x14ac:dyDescent="0.2">
      <c r="B76" s="21" t="s">
        <v>260</v>
      </c>
      <c r="C76" s="22" t="s">
        <v>261</v>
      </c>
      <c r="D76" s="21">
        <v>1</v>
      </c>
      <c r="E76" s="21">
        <v>1</v>
      </c>
      <c r="F76" s="21" t="s">
        <v>442</v>
      </c>
    </row>
    <row r="77" spans="2:6" ht="32" hidden="1" outlineLevel="1" x14ac:dyDescent="0.2">
      <c r="B77" s="21" t="s">
        <v>262</v>
      </c>
      <c r="C77" s="22" t="s">
        <v>263</v>
      </c>
      <c r="D77" s="21">
        <v>553</v>
      </c>
      <c r="E77" s="21">
        <v>553</v>
      </c>
      <c r="F77" s="21" t="s">
        <v>145</v>
      </c>
    </row>
    <row r="78" spans="2:6" ht="32" hidden="1" outlineLevel="1" x14ac:dyDescent="0.2">
      <c r="B78" s="21" t="s">
        <v>264</v>
      </c>
      <c r="C78" s="22" t="s">
        <v>265</v>
      </c>
      <c r="D78" s="21">
        <v>0</v>
      </c>
      <c r="E78" s="21">
        <v>0</v>
      </c>
      <c r="F78" s="21" t="s">
        <v>442</v>
      </c>
    </row>
    <row r="79" spans="2:6" ht="32" hidden="1" outlineLevel="1" x14ac:dyDescent="0.2">
      <c r="B79" s="21" t="s">
        <v>266</v>
      </c>
      <c r="C79" s="22" t="s">
        <v>267</v>
      </c>
      <c r="D79" s="21">
        <v>0</v>
      </c>
      <c r="E79" s="21">
        <v>0</v>
      </c>
      <c r="F79" s="21" t="s">
        <v>145</v>
      </c>
    </row>
    <row r="80" spans="2:6" ht="32" hidden="1" outlineLevel="1" x14ac:dyDescent="0.2">
      <c r="B80" s="21" t="s">
        <v>268</v>
      </c>
      <c r="C80" s="22" t="s">
        <v>269</v>
      </c>
      <c r="D80" s="21">
        <v>1</v>
      </c>
      <c r="E80" s="21">
        <v>1</v>
      </c>
      <c r="F80" s="21" t="s">
        <v>442</v>
      </c>
    </row>
    <row r="81" spans="2:6" ht="32" hidden="1" outlineLevel="1" x14ac:dyDescent="0.2">
      <c r="B81" s="21" t="s">
        <v>270</v>
      </c>
      <c r="C81" s="22" t="s">
        <v>271</v>
      </c>
      <c r="D81" s="21">
        <v>490</v>
      </c>
      <c r="E81" s="21">
        <v>490</v>
      </c>
      <c r="F81" s="21" t="s">
        <v>145</v>
      </c>
    </row>
    <row r="82" spans="2:6" ht="32" hidden="1" outlineLevel="1" x14ac:dyDescent="0.2">
      <c r="B82" s="21" t="s">
        <v>272</v>
      </c>
      <c r="C82" s="22" t="s">
        <v>273</v>
      </c>
      <c r="D82" s="21">
        <v>1</v>
      </c>
      <c r="E82" s="21">
        <v>1</v>
      </c>
      <c r="F82" s="21" t="s">
        <v>442</v>
      </c>
    </row>
    <row r="83" spans="2:6" ht="32" hidden="1" outlineLevel="1" x14ac:dyDescent="0.2">
      <c r="B83" s="21" t="s">
        <v>274</v>
      </c>
      <c r="C83" s="22" t="s">
        <v>275</v>
      </c>
      <c r="D83" s="21">
        <v>265</v>
      </c>
      <c r="E83" s="21">
        <v>265</v>
      </c>
      <c r="F83" s="21" t="s">
        <v>145</v>
      </c>
    </row>
    <row r="84" spans="2:6" ht="32" hidden="1" outlineLevel="1" x14ac:dyDescent="0.2">
      <c r="B84" s="21" t="s">
        <v>276</v>
      </c>
      <c r="C84" s="22" t="s">
        <v>277</v>
      </c>
      <c r="D84" s="21">
        <v>1</v>
      </c>
      <c r="E84" s="21">
        <v>1</v>
      </c>
      <c r="F84" s="21" t="s">
        <v>442</v>
      </c>
    </row>
    <row r="85" spans="2:6" ht="32" hidden="1" outlineLevel="1" x14ac:dyDescent="0.2">
      <c r="B85" s="21" t="s">
        <v>278</v>
      </c>
      <c r="C85" s="22" t="s">
        <v>279</v>
      </c>
      <c r="D85" s="21">
        <v>200</v>
      </c>
      <c r="E85" s="21">
        <v>200</v>
      </c>
      <c r="F85" s="21" t="s">
        <v>145</v>
      </c>
    </row>
    <row r="86" spans="2:6" ht="32" hidden="1" outlineLevel="1" x14ac:dyDescent="0.2">
      <c r="B86" s="21" t="s">
        <v>280</v>
      </c>
      <c r="C86" s="22" t="s">
        <v>281</v>
      </c>
      <c r="D86" s="21">
        <v>1</v>
      </c>
      <c r="E86" s="21">
        <v>1</v>
      </c>
      <c r="F86" s="21" t="s">
        <v>442</v>
      </c>
    </row>
    <row r="87" spans="2:6" ht="32" hidden="1" outlineLevel="1" x14ac:dyDescent="0.2">
      <c r="B87" s="21" t="s">
        <v>282</v>
      </c>
      <c r="C87" s="22" t="s">
        <v>283</v>
      </c>
      <c r="D87" s="21">
        <v>200</v>
      </c>
      <c r="E87" s="21">
        <v>200</v>
      </c>
      <c r="F87" s="21" t="s">
        <v>145</v>
      </c>
    </row>
    <row r="88" spans="2:6" ht="32" hidden="1" outlineLevel="1" x14ac:dyDescent="0.2">
      <c r="B88" s="21" t="s">
        <v>284</v>
      </c>
      <c r="C88" s="22" t="s">
        <v>285</v>
      </c>
      <c r="D88" s="21">
        <v>0</v>
      </c>
      <c r="E88" s="21">
        <v>0</v>
      </c>
      <c r="F88" s="21" t="s">
        <v>442</v>
      </c>
    </row>
    <row r="89" spans="2:6" ht="32" hidden="1" outlineLevel="1" x14ac:dyDescent="0.2">
      <c r="B89" s="21" t="s">
        <v>286</v>
      </c>
      <c r="C89" s="22" t="s">
        <v>287</v>
      </c>
      <c r="D89" s="21">
        <v>0</v>
      </c>
      <c r="E89" s="21">
        <v>0</v>
      </c>
      <c r="F89" s="21" t="s">
        <v>145</v>
      </c>
    </row>
    <row r="90" spans="2:6" ht="32" hidden="1" outlineLevel="1" x14ac:dyDescent="0.2">
      <c r="B90" s="21" t="s">
        <v>288</v>
      </c>
      <c r="C90" s="22" t="s">
        <v>289</v>
      </c>
      <c r="D90" s="21">
        <v>1</v>
      </c>
      <c r="E90" s="21">
        <v>1</v>
      </c>
      <c r="F90" s="21" t="s">
        <v>442</v>
      </c>
    </row>
    <row r="91" spans="2:6" ht="32" hidden="1" outlineLevel="1" x14ac:dyDescent="0.2">
      <c r="B91" s="21" t="s">
        <v>290</v>
      </c>
      <c r="C91" s="22" t="s">
        <v>291</v>
      </c>
      <c r="D91" s="21">
        <v>227</v>
      </c>
      <c r="E91" s="21">
        <v>227</v>
      </c>
      <c r="F91" s="21" t="s">
        <v>145</v>
      </c>
    </row>
    <row r="92" spans="2:6" ht="32" hidden="1" outlineLevel="1" x14ac:dyDescent="0.2">
      <c r="B92" s="21" t="s">
        <v>292</v>
      </c>
      <c r="C92" s="22" t="s">
        <v>293</v>
      </c>
      <c r="D92" s="21">
        <v>1</v>
      </c>
      <c r="E92" s="21">
        <v>1</v>
      </c>
      <c r="F92" s="21" t="s">
        <v>442</v>
      </c>
    </row>
    <row r="93" spans="2:6" ht="32" hidden="1" outlineLevel="1" x14ac:dyDescent="0.2">
      <c r="B93" s="21" t="s">
        <v>294</v>
      </c>
      <c r="C93" s="22" t="s">
        <v>295</v>
      </c>
      <c r="D93" s="21">
        <v>229</v>
      </c>
      <c r="E93" s="21">
        <v>229</v>
      </c>
      <c r="F93" s="21" t="s">
        <v>145</v>
      </c>
    </row>
    <row r="94" spans="2:6" ht="32" hidden="1" outlineLevel="1" x14ac:dyDescent="0.2">
      <c r="B94" s="21" t="s">
        <v>296</v>
      </c>
      <c r="C94" s="22" t="s">
        <v>297</v>
      </c>
      <c r="D94" s="21">
        <v>0</v>
      </c>
      <c r="E94" s="21">
        <v>0</v>
      </c>
      <c r="F94" s="21" t="s">
        <v>442</v>
      </c>
    </row>
    <row r="95" spans="2:6" ht="32" hidden="1" outlineLevel="1" x14ac:dyDescent="0.2">
      <c r="B95" s="21" t="s">
        <v>298</v>
      </c>
      <c r="C95" s="22" t="s">
        <v>299</v>
      </c>
      <c r="D95" s="21">
        <v>0</v>
      </c>
      <c r="E95" s="21">
        <v>0</v>
      </c>
      <c r="F95" s="21" t="s">
        <v>145</v>
      </c>
    </row>
    <row r="96" spans="2:6" ht="32" hidden="1" outlineLevel="1" x14ac:dyDescent="0.2">
      <c r="B96" s="21" t="s">
        <v>300</v>
      </c>
      <c r="C96" s="22" t="s">
        <v>301</v>
      </c>
      <c r="D96" s="21">
        <v>1</v>
      </c>
      <c r="E96" s="21">
        <v>1</v>
      </c>
      <c r="F96" s="21" t="s">
        <v>442</v>
      </c>
    </row>
    <row r="97" spans="2:6" ht="32" hidden="1" outlineLevel="1" x14ac:dyDescent="0.2">
      <c r="B97" s="21" t="s">
        <v>302</v>
      </c>
      <c r="C97" s="22" t="s">
        <v>303</v>
      </c>
      <c r="D97" s="21">
        <v>200</v>
      </c>
      <c r="E97" s="21">
        <v>200</v>
      </c>
      <c r="F97" s="21" t="s">
        <v>145</v>
      </c>
    </row>
    <row r="98" spans="2:6" ht="32" hidden="1" outlineLevel="1" x14ac:dyDescent="0.2">
      <c r="B98" s="21" t="s">
        <v>304</v>
      </c>
      <c r="C98" s="22" t="s">
        <v>305</v>
      </c>
      <c r="D98" s="21">
        <v>0</v>
      </c>
      <c r="E98" s="21">
        <v>0</v>
      </c>
      <c r="F98" s="21" t="s">
        <v>442</v>
      </c>
    </row>
    <row r="99" spans="2:6" ht="32" hidden="1" outlineLevel="1" x14ac:dyDescent="0.2">
      <c r="B99" s="21" t="s">
        <v>306</v>
      </c>
      <c r="C99" s="22" t="s">
        <v>307</v>
      </c>
      <c r="D99" s="21">
        <v>0</v>
      </c>
      <c r="E99" s="21">
        <v>0</v>
      </c>
      <c r="F99" s="21" t="s">
        <v>145</v>
      </c>
    </row>
    <row r="100" spans="2:6" ht="32" hidden="1" outlineLevel="1" x14ac:dyDescent="0.2">
      <c r="B100" s="21" t="s">
        <v>308</v>
      </c>
      <c r="C100" s="22" t="s">
        <v>309</v>
      </c>
      <c r="D100" s="21">
        <v>0</v>
      </c>
      <c r="E100" s="21">
        <v>0</v>
      </c>
      <c r="F100" s="21" t="s">
        <v>442</v>
      </c>
    </row>
    <row r="101" spans="2:6" ht="32" hidden="1" outlineLevel="1" x14ac:dyDescent="0.2">
      <c r="B101" s="21" t="s">
        <v>310</v>
      </c>
      <c r="C101" s="22" t="s">
        <v>311</v>
      </c>
      <c r="D101" s="21">
        <v>0</v>
      </c>
      <c r="E101" s="21">
        <v>0</v>
      </c>
      <c r="F101" s="21" t="s">
        <v>145</v>
      </c>
    </row>
    <row r="102" spans="2:6" ht="32" hidden="1" outlineLevel="1" x14ac:dyDescent="0.2">
      <c r="B102" s="21" t="s">
        <v>312</v>
      </c>
      <c r="C102" s="22" t="s">
        <v>313</v>
      </c>
      <c r="D102" s="21">
        <v>1</v>
      </c>
      <c r="E102" s="21">
        <v>1</v>
      </c>
      <c r="F102" s="21" t="s">
        <v>442</v>
      </c>
    </row>
    <row r="103" spans="2:6" ht="32" hidden="1" outlineLevel="1" x14ac:dyDescent="0.2">
      <c r="B103" s="21" t="s">
        <v>314</v>
      </c>
      <c r="C103" s="22" t="s">
        <v>315</v>
      </c>
      <c r="D103" s="21">
        <v>200</v>
      </c>
      <c r="E103" s="21">
        <v>200</v>
      </c>
      <c r="F103" s="21" t="s">
        <v>145</v>
      </c>
    </row>
    <row r="104" spans="2:6" ht="32" hidden="1" outlineLevel="1" x14ac:dyDescent="0.2">
      <c r="B104" s="21" t="s">
        <v>316</v>
      </c>
      <c r="C104" s="22" t="s">
        <v>317</v>
      </c>
      <c r="D104" s="21">
        <v>1</v>
      </c>
      <c r="E104" s="21">
        <v>1</v>
      </c>
      <c r="F104" s="21" t="s">
        <v>442</v>
      </c>
    </row>
    <row r="105" spans="2:6" ht="32" hidden="1" outlineLevel="1" x14ac:dyDescent="0.2">
      <c r="B105" s="21" t="s">
        <v>318</v>
      </c>
      <c r="C105" s="22" t="s">
        <v>319</v>
      </c>
      <c r="D105" s="21">
        <v>200</v>
      </c>
      <c r="E105" s="21">
        <v>200</v>
      </c>
      <c r="F105" s="21" t="s">
        <v>145</v>
      </c>
    </row>
    <row r="106" spans="2:6" ht="32" hidden="1" outlineLevel="1" x14ac:dyDescent="0.2">
      <c r="B106" s="21" t="s">
        <v>320</v>
      </c>
      <c r="C106" s="22" t="s">
        <v>321</v>
      </c>
      <c r="D106" s="21">
        <v>0</v>
      </c>
      <c r="E106" s="21">
        <v>0</v>
      </c>
      <c r="F106" s="21" t="s">
        <v>442</v>
      </c>
    </row>
    <row r="107" spans="2:6" ht="32" hidden="1" outlineLevel="1" x14ac:dyDescent="0.2">
      <c r="B107" s="21" t="s">
        <v>322</v>
      </c>
      <c r="C107" s="22" t="s">
        <v>323</v>
      </c>
      <c r="D107" s="21">
        <v>0</v>
      </c>
      <c r="E107" s="21">
        <v>0</v>
      </c>
      <c r="F107" s="21" t="s">
        <v>145</v>
      </c>
    </row>
    <row r="108" spans="2:6" ht="32" hidden="1" outlineLevel="1" x14ac:dyDescent="0.2">
      <c r="B108" s="21" t="s">
        <v>324</v>
      </c>
      <c r="C108" s="22" t="s">
        <v>325</v>
      </c>
      <c r="D108" s="21">
        <v>1</v>
      </c>
      <c r="E108" s="21">
        <v>1</v>
      </c>
      <c r="F108" s="21" t="s">
        <v>442</v>
      </c>
    </row>
    <row r="109" spans="2:6" ht="32" hidden="1" outlineLevel="1" x14ac:dyDescent="0.2">
      <c r="B109" s="21" t="s">
        <v>326</v>
      </c>
      <c r="C109" s="22" t="s">
        <v>327</v>
      </c>
      <c r="D109" s="21">
        <v>209</v>
      </c>
      <c r="E109" s="21">
        <v>209</v>
      </c>
      <c r="F109" s="21" t="s">
        <v>145</v>
      </c>
    </row>
    <row r="110" spans="2:6" ht="32" hidden="1" outlineLevel="1" x14ac:dyDescent="0.2">
      <c r="B110" s="21" t="s">
        <v>328</v>
      </c>
      <c r="C110" s="22" t="s">
        <v>329</v>
      </c>
      <c r="D110" s="21">
        <v>1</v>
      </c>
      <c r="E110" s="21">
        <v>1</v>
      </c>
      <c r="F110" s="21" t="s">
        <v>442</v>
      </c>
    </row>
    <row r="111" spans="2:6" ht="32" hidden="1" outlineLevel="1" x14ac:dyDescent="0.2">
      <c r="B111" s="21" t="s">
        <v>330</v>
      </c>
      <c r="C111" s="22" t="s">
        <v>331</v>
      </c>
      <c r="D111" s="21">
        <v>195</v>
      </c>
      <c r="E111" s="21">
        <v>195</v>
      </c>
      <c r="F111" s="21" t="s">
        <v>145</v>
      </c>
    </row>
    <row r="112" spans="2:6" ht="32" hidden="1" outlineLevel="1" x14ac:dyDescent="0.2">
      <c r="B112" s="21" t="s">
        <v>332</v>
      </c>
      <c r="C112" s="22" t="s">
        <v>333</v>
      </c>
      <c r="D112" s="21">
        <v>0</v>
      </c>
      <c r="E112" s="21">
        <v>0</v>
      </c>
      <c r="F112" s="21" t="s">
        <v>442</v>
      </c>
    </row>
    <row r="113" spans="1:7" ht="32" hidden="1" outlineLevel="1" x14ac:dyDescent="0.2">
      <c r="B113" s="21" t="s">
        <v>334</v>
      </c>
      <c r="C113" s="22" t="s">
        <v>335</v>
      </c>
      <c r="D113" s="21">
        <v>0</v>
      </c>
      <c r="E113" s="21">
        <v>0</v>
      </c>
      <c r="F113" s="21" t="s">
        <v>145</v>
      </c>
    </row>
    <row r="114" spans="1:7" ht="32" hidden="1" outlineLevel="1" x14ac:dyDescent="0.2">
      <c r="B114" s="21" t="s">
        <v>336</v>
      </c>
      <c r="C114" s="22" t="s">
        <v>337</v>
      </c>
      <c r="D114" s="21">
        <v>0</v>
      </c>
      <c r="E114" s="21">
        <v>0</v>
      </c>
      <c r="F114" s="21" t="s">
        <v>442</v>
      </c>
    </row>
    <row r="115" spans="1:7" ht="33" hidden="1" outlineLevel="1" thickBot="1" x14ac:dyDescent="0.25">
      <c r="B115" s="20" t="s">
        <v>338</v>
      </c>
      <c r="C115" s="23" t="s">
        <v>339</v>
      </c>
      <c r="D115" s="20">
        <v>0</v>
      </c>
      <c r="E115" s="20">
        <v>0</v>
      </c>
      <c r="F115" s="20" t="s">
        <v>145</v>
      </c>
    </row>
    <row r="116" spans="1:7" collapsed="1" x14ac:dyDescent="0.2">
      <c r="C116" s="24"/>
    </row>
    <row r="119" spans="1:7" ht="16" thickBot="1" x14ac:dyDescent="0.25">
      <c r="A119" t="s">
        <v>146</v>
      </c>
    </row>
    <row r="120" spans="1:7" ht="16" thickBot="1" x14ac:dyDescent="0.25">
      <c r="B120" s="28" t="s">
        <v>140</v>
      </c>
      <c r="C120" s="28" t="s">
        <v>141</v>
      </c>
      <c r="D120" s="28" t="s">
        <v>147</v>
      </c>
      <c r="E120" s="28" t="s">
        <v>148</v>
      </c>
      <c r="F120" s="28" t="s">
        <v>149</v>
      </c>
      <c r="G120" s="28" t="s">
        <v>150</v>
      </c>
    </row>
    <row r="121" spans="1:7" x14ac:dyDescent="0.2">
      <c r="B121" s="26" t="s">
        <v>445</v>
      </c>
      <c r="C121" s="25"/>
      <c r="D121" s="25"/>
      <c r="E121" s="25"/>
      <c r="F121" s="25"/>
      <c r="G121" s="25"/>
    </row>
    <row r="122" spans="1:7" ht="32" hidden="1" outlineLevel="1" x14ac:dyDescent="0.2">
      <c r="B122" s="21" t="s">
        <v>154</v>
      </c>
      <c r="C122" s="22" t="s">
        <v>155</v>
      </c>
      <c r="D122" s="21">
        <v>0</v>
      </c>
      <c r="E122" s="21" t="s">
        <v>340</v>
      </c>
      <c r="F122" s="21" t="s">
        <v>341</v>
      </c>
      <c r="G122" s="21">
        <v>0</v>
      </c>
    </row>
    <row r="123" spans="1:7" ht="32" hidden="1" outlineLevel="1" x14ac:dyDescent="0.2">
      <c r="B123" s="21" t="s">
        <v>158</v>
      </c>
      <c r="C123" s="22" t="s">
        <v>159</v>
      </c>
      <c r="D123" s="21">
        <v>200</v>
      </c>
      <c r="E123" s="21" t="s">
        <v>342</v>
      </c>
      <c r="F123" s="21" t="s">
        <v>341</v>
      </c>
      <c r="G123" s="21">
        <v>0</v>
      </c>
    </row>
    <row r="124" spans="1:7" ht="32" hidden="1" outlineLevel="1" x14ac:dyDescent="0.2">
      <c r="B124" s="21" t="s">
        <v>162</v>
      </c>
      <c r="C124" s="22" t="s">
        <v>163</v>
      </c>
      <c r="D124" s="21">
        <v>205</v>
      </c>
      <c r="E124" s="21" t="s">
        <v>343</v>
      </c>
      <c r="F124" s="21" t="s">
        <v>341</v>
      </c>
      <c r="G124" s="21">
        <v>0</v>
      </c>
    </row>
    <row r="125" spans="1:7" ht="32" hidden="1" outlineLevel="1" x14ac:dyDescent="0.2">
      <c r="B125" s="21" t="s">
        <v>166</v>
      </c>
      <c r="C125" s="22" t="s">
        <v>167</v>
      </c>
      <c r="D125" s="21">
        <v>100</v>
      </c>
      <c r="E125" s="21" t="s">
        <v>344</v>
      </c>
      <c r="F125" s="21" t="s">
        <v>345</v>
      </c>
      <c r="G125" s="21">
        <v>110</v>
      </c>
    </row>
    <row r="126" spans="1:7" ht="32" hidden="1" outlineLevel="1" x14ac:dyDescent="0.2">
      <c r="B126" s="21" t="s">
        <v>170</v>
      </c>
      <c r="C126" s="22" t="s">
        <v>171</v>
      </c>
      <c r="D126" s="21">
        <v>0</v>
      </c>
      <c r="E126" s="21" t="s">
        <v>346</v>
      </c>
      <c r="F126" s="21" t="s">
        <v>341</v>
      </c>
      <c r="G126" s="21">
        <v>0</v>
      </c>
    </row>
    <row r="127" spans="1:7" ht="32" hidden="1" outlineLevel="1" x14ac:dyDescent="0.2">
      <c r="B127" s="21" t="s">
        <v>174</v>
      </c>
      <c r="C127" s="22" t="s">
        <v>175</v>
      </c>
      <c r="D127" s="21">
        <v>200</v>
      </c>
      <c r="E127" s="21" t="s">
        <v>347</v>
      </c>
      <c r="F127" s="21" t="s">
        <v>341</v>
      </c>
      <c r="G127" s="21">
        <v>0</v>
      </c>
    </row>
    <row r="128" spans="1:7" ht="32" hidden="1" outlineLevel="1" x14ac:dyDescent="0.2">
      <c r="B128" s="21" t="s">
        <v>178</v>
      </c>
      <c r="C128" s="22" t="s">
        <v>179</v>
      </c>
      <c r="D128" s="21">
        <v>0</v>
      </c>
      <c r="E128" s="21" t="s">
        <v>348</v>
      </c>
      <c r="F128" s="21" t="s">
        <v>341</v>
      </c>
      <c r="G128" s="21">
        <v>0</v>
      </c>
    </row>
    <row r="129" spans="2:7" ht="32" hidden="1" outlineLevel="1" x14ac:dyDescent="0.2">
      <c r="B129" s="21" t="s">
        <v>182</v>
      </c>
      <c r="C129" s="22" t="s">
        <v>183</v>
      </c>
      <c r="D129" s="21">
        <v>0</v>
      </c>
      <c r="E129" s="21" t="s">
        <v>349</v>
      </c>
      <c r="F129" s="21" t="s">
        <v>341</v>
      </c>
      <c r="G129" s="21">
        <v>0</v>
      </c>
    </row>
    <row r="130" spans="2:7" ht="32" hidden="1" outlineLevel="1" x14ac:dyDescent="0.2">
      <c r="B130" s="21" t="s">
        <v>186</v>
      </c>
      <c r="C130" s="22" t="s">
        <v>187</v>
      </c>
      <c r="D130" s="21">
        <v>0</v>
      </c>
      <c r="E130" s="21" t="s">
        <v>350</v>
      </c>
      <c r="F130" s="21" t="s">
        <v>341</v>
      </c>
      <c r="G130" s="21">
        <v>0</v>
      </c>
    </row>
    <row r="131" spans="2:7" ht="32" hidden="1" outlineLevel="1" x14ac:dyDescent="0.2">
      <c r="B131" s="21" t="s">
        <v>190</v>
      </c>
      <c r="C131" s="22" t="s">
        <v>191</v>
      </c>
      <c r="D131" s="21">
        <v>0</v>
      </c>
      <c r="E131" s="21" t="s">
        <v>351</v>
      </c>
      <c r="F131" s="21" t="s">
        <v>341</v>
      </c>
      <c r="G131" s="21">
        <v>0</v>
      </c>
    </row>
    <row r="132" spans="2:7" ht="32" hidden="1" outlineLevel="1" x14ac:dyDescent="0.2">
      <c r="B132" s="21" t="s">
        <v>194</v>
      </c>
      <c r="C132" s="22" t="s">
        <v>195</v>
      </c>
      <c r="D132" s="21">
        <v>232</v>
      </c>
      <c r="E132" s="21" t="s">
        <v>352</v>
      </c>
      <c r="F132" s="21" t="s">
        <v>341</v>
      </c>
      <c r="G132" s="21">
        <v>0</v>
      </c>
    </row>
    <row r="133" spans="2:7" ht="32" hidden="1" outlineLevel="1" x14ac:dyDescent="0.2">
      <c r="B133" s="21" t="s">
        <v>198</v>
      </c>
      <c r="C133" s="22" t="s">
        <v>199</v>
      </c>
      <c r="D133" s="21">
        <v>0</v>
      </c>
      <c r="E133" s="21" t="s">
        <v>353</v>
      </c>
      <c r="F133" s="21" t="s">
        <v>341</v>
      </c>
      <c r="G133" s="21">
        <v>0</v>
      </c>
    </row>
    <row r="134" spans="2:7" ht="32" hidden="1" outlineLevel="1" x14ac:dyDescent="0.2">
      <c r="B134" s="21" t="s">
        <v>202</v>
      </c>
      <c r="C134" s="22" t="s">
        <v>203</v>
      </c>
      <c r="D134" s="21">
        <v>200</v>
      </c>
      <c r="E134" s="21" t="s">
        <v>354</v>
      </c>
      <c r="F134" s="21" t="s">
        <v>341</v>
      </c>
      <c r="G134" s="21">
        <v>0</v>
      </c>
    </row>
    <row r="135" spans="2:7" ht="32" hidden="1" outlineLevel="1" x14ac:dyDescent="0.2">
      <c r="B135" s="21" t="s">
        <v>206</v>
      </c>
      <c r="C135" s="22" t="s">
        <v>207</v>
      </c>
      <c r="D135" s="21">
        <v>200</v>
      </c>
      <c r="E135" s="21" t="s">
        <v>355</v>
      </c>
      <c r="F135" s="21" t="s">
        <v>341</v>
      </c>
      <c r="G135" s="21">
        <v>0</v>
      </c>
    </row>
    <row r="136" spans="2:7" ht="32" hidden="1" outlineLevel="1" x14ac:dyDescent="0.2">
      <c r="B136" s="21" t="s">
        <v>210</v>
      </c>
      <c r="C136" s="22" t="s">
        <v>211</v>
      </c>
      <c r="D136" s="21">
        <v>200</v>
      </c>
      <c r="E136" s="21" t="s">
        <v>356</v>
      </c>
      <c r="F136" s="21" t="s">
        <v>341</v>
      </c>
      <c r="G136" s="21">
        <v>0</v>
      </c>
    </row>
    <row r="137" spans="2:7" ht="32" hidden="1" outlineLevel="1" x14ac:dyDescent="0.2">
      <c r="B137" s="21" t="s">
        <v>214</v>
      </c>
      <c r="C137" s="22" t="s">
        <v>215</v>
      </c>
      <c r="D137" s="21">
        <v>0</v>
      </c>
      <c r="E137" s="21" t="s">
        <v>357</v>
      </c>
      <c r="F137" s="21" t="s">
        <v>341</v>
      </c>
      <c r="G137" s="21">
        <v>0</v>
      </c>
    </row>
    <row r="138" spans="2:7" ht="32" hidden="1" outlineLevel="1" x14ac:dyDescent="0.2">
      <c r="B138" s="21" t="s">
        <v>218</v>
      </c>
      <c r="C138" s="22" t="s">
        <v>219</v>
      </c>
      <c r="D138" s="21">
        <v>232</v>
      </c>
      <c r="E138" s="21" t="s">
        <v>358</v>
      </c>
      <c r="F138" s="21" t="s">
        <v>341</v>
      </c>
      <c r="G138" s="21">
        <v>0</v>
      </c>
    </row>
    <row r="139" spans="2:7" ht="32" hidden="1" outlineLevel="1" x14ac:dyDescent="0.2">
      <c r="B139" s="21" t="s">
        <v>222</v>
      </c>
      <c r="C139" s="22" t="s">
        <v>223</v>
      </c>
      <c r="D139" s="21">
        <v>0</v>
      </c>
      <c r="E139" s="21" t="s">
        <v>359</v>
      </c>
      <c r="F139" s="21" t="s">
        <v>341</v>
      </c>
      <c r="G139" s="21">
        <v>0</v>
      </c>
    </row>
    <row r="140" spans="2:7" ht="32" hidden="1" outlineLevel="1" x14ac:dyDescent="0.2">
      <c r="B140" s="21" t="s">
        <v>226</v>
      </c>
      <c r="C140" s="22" t="s">
        <v>227</v>
      </c>
      <c r="D140" s="21">
        <v>200</v>
      </c>
      <c r="E140" s="21" t="s">
        <v>360</v>
      </c>
      <c r="F140" s="21" t="s">
        <v>341</v>
      </c>
      <c r="G140" s="21">
        <v>0</v>
      </c>
    </row>
    <row r="141" spans="2:7" ht="32" hidden="1" outlineLevel="1" x14ac:dyDescent="0.2">
      <c r="B141" s="21" t="s">
        <v>230</v>
      </c>
      <c r="C141" s="22" t="s">
        <v>231</v>
      </c>
      <c r="D141" s="21">
        <v>261</v>
      </c>
      <c r="E141" s="21" t="s">
        <v>361</v>
      </c>
      <c r="F141" s="21" t="s">
        <v>341</v>
      </c>
      <c r="G141" s="21">
        <v>0</v>
      </c>
    </row>
    <row r="142" spans="2:7" ht="32" hidden="1" outlineLevel="1" x14ac:dyDescent="0.2">
      <c r="B142" s="21" t="s">
        <v>234</v>
      </c>
      <c r="C142" s="22" t="s">
        <v>235</v>
      </c>
      <c r="D142" s="21">
        <v>0</v>
      </c>
      <c r="E142" s="21" t="s">
        <v>362</v>
      </c>
      <c r="F142" s="21" t="s">
        <v>341</v>
      </c>
      <c r="G142" s="21">
        <v>0</v>
      </c>
    </row>
    <row r="143" spans="2:7" ht="32" hidden="1" outlineLevel="1" x14ac:dyDescent="0.2">
      <c r="B143" s="21" t="s">
        <v>238</v>
      </c>
      <c r="C143" s="22" t="s">
        <v>239</v>
      </c>
      <c r="D143" s="21">
        <v>0</v>
      </c>
      <c r="E143" s="21" t="s">
        <v>363</v>
      </c>
      <c r="F143" s="21" t="s">
        <v>341</v>
      </c>
      <c r="G143" s="21">
        <v>0</v>
      </c>
    </row>
    <row r="144" spans="2:7" ht="32" hidden="1" outlineLevel="1" x14ac:dyDescent="0.2">
      <c r="B144" s="21" t="s">
        <v>242</v>
      </c>
      <c r="C144" s="22" t="s">
        <v>243</v>
      </c>
      <c r="D144" s="21">
        <v>0</v>
      </c>
      <c r="E144" s="21" t="s">
        <v>364</v>
      </c>
      <c r="F144" s="21" t="s">
        <v>341</v>
      </c>
      <c r="G144" s="21">
        <v>0</v>
      </c>
    </row>
    <row r="145" spans="2:7" ht="32" hidden="1" outlineLevel="1" x14ac:dyDescent="0.2">
      <c r="B145" s="21" t="s">
        <v>246</v>
      </c>
      <c r="C145" s="22" t="s">
        <v>247</v>
      </c>
      <c r="D145" s="21">
        <v>200</v>
      </c>
      <c r="E145" s="21" t="s">
        <v>365</v>
      </c>
      <c r="F145" s="21" t="s">
        <v>341</v>
      </c>
      <c r="G145" s="21">
        <v>0</v>
      </c>
    </row>
    <row r="146" spans="2:7" ht="32" hidden="1" outlineLevel="1" x14ac:dyDescent="0.2">
      <c r="B146" s="21" t="s">
        <v>250</v>
      </c>
      <c r="C146" s="22" t="s">
        <v>251</v>
      </c>
      <c r="D146" s="21">
        <v>0</v>
      </c>
      <c r="E146" s="21" t="s">
        <v>366</v>
      </c>
      <c r="F146" s="21" t="s">
        <v>341</v>
      </c>
      <c r="G146" s="21">
        <v>0</v>
      </c>
    </row>
    <row r="147" spans="2:7" ht="32" hidden="1" outlineLevel="1" x14ac:dyDescent="0.2">
      <c r="B147" s="21" t="s">
        <v>254</v>
      </c>
      <c r="C147" s="22" t="s">
        <v>255</v>
      </c>
      <c r="D147" s="21">
        <v>200</v>
      </c>
      <c r="E147" s="21" t="s">
        <v>367</v>
      </c>
      <c r="F147" s="21" t="s">
        <v>341</v>
      </c>
      <c r="G147" s="21">
        <v>0</v>
      </c>
    </row>
    <row r="148" spans="2:7" ht="32" hidden="1" outlineLevel="1" x14ac:dyDescent="0.2">
      <c r="B148" s="21" t="s">
        <v>258</v>
      </c>
      <c r="C148" s="22" t="s">
        <v>259</v>
      </c>
      <c r="D148" s="21">
        <v>202</v>
      </c>
      <c r="E148" s="21" t="s">
        <v>368</v>
      </c>
      <c r="F148" s="21" t="s">
        <v>341</v>
      </c>
      <c r="G148" s="21">
        <v>0</v>
      </c>
    </row>
    <row r="149" spans="2:7" ht="32" hidden="1" outlineLevel="1" x14ac:dyDescent="0.2">
      <c r="B149" s="21" t="s">
        <v>262</v>
      </c>
      <c r="C149" s="22" t="s">
        <v>263</v>
      </c>
      <c r="D149" s="21">
        <v>553</v>
      </c>
      <c r="E149" s="21" t="s">
        <v>369</v>
      </c>
      <c r="F149" s="21" t="s">
        <v>341</v>
      </c>
      <c r="G149" s="21">
        <v>0</v>
      </c>
    </row>
    <row r="150" spans="2:7" ht="32" hidden="1" outlineLevel="1" x14ac:dyDescent="0.2">
      <c r="B150" s="21" t="s">
        <v>266</v>
      </c>
      <c r="C150" s="22" t="s">
        <v>267</v>
      </c>
      <c r="D150" s="21">
        <v>0</v>
      </c>
      <c r="E150" s="21" t="s">
        <v>370</v>
      </c>
      <c r="F150" s="21" t="s">
        <v>341</v>
      </c>
      <c r="G150" s="21">
        <v>0</v>
      </c>
    </row>
    <row r="151" spans="2:7" ht="32" hidden="1" outlineLevel="1" x14ac:dyDescent="0.2">
      <c r="B151" s="21" t="s">
        <v>270</v>
      </c>
      <c r="C151" s="22" t="s">
        <v>271</v>
      </c>
      <c r="D151" s="21">
        <v>490</v>
      </c>
      <c r="E151" s="21" t="s">
        <v>371</v>
      </c>
      <c r="F151" s="21" t="s">
        <v>341</v>
      </c>
      <c r="G151" s="21">
        <v>0</v>
      </c>
    </row>
    <row r="152" spans="2:7" ht="32" hidden="1" outlineLevel="1" x14ac:dyDescent="0.2">
      <c r="B152" s="21" t="s">
        <v>274</v>
      </c>
      <c r="C152" s="22" t="s">
        <v>275</v>
      </c>
      <c r="D152" s="21">
        <v>265</v>
      </c>
      <c r="E152" s="21" t="s">
        <v>372</v>
      </c>
      <c r="F152" s="21" t="s">
        <v>341</v>
      </c>
      <c r="G152" s="21">
        <v>0</v>
      </c>
    </row>
    <row r="153" spans="2:7" ht="32" hidden="1" outlineLevel="1" x14ac:dyDescent="0.2">
      <c r="B153" s="21" t="s">
        <v>278</v>
      </c>
      <c r="C153" s="22" t="s">
        <v>279</v>
      </c>
      <c r="D153" s="21">
        <v>200</v>
      </c>
      <c r="E153" s="21" t="s">
        <v>373</v>
      </c>
      <c r="F153" s="21" t="s">
        <v>341</v>
      </c>
      <c r="G153" s="21">
        <v>0</v>
      </c>
    </row>
    <row r="154" spans="2:7" ht="32" hidden="1" outlineLevel="1" x14ac:dyDescent="0.2">
      <c r="B154" s="21" t="s">
        <v>282</v>
      </c>
      <c r="C154" s="22" t="s">
        <v>283</v>
      </c>
      <c r="D154" s="21">
        <v>200</v>
      </c>
      <c r="E154" s="21" t="s">
        <v>374</v>
      </c>
      <c r="F154" s="21" t="s">
        <v>341</v>
      </c>
      <c r="G154" s="21">
        <v>0</v>
      </c>
    </row>
    <row r="155" spans="2:7" ht="32" hidden="1" outlineLevel="1" x14ac:dyDescent="0.2">
      <c r="B155" s="21" t="s">
        <v>286</v>
      </c>
      <c r="C155" s="22" t="s">
        <v>287</v>
      </c>
      <c r="D155" s="21">
        <v>0</v>
      </c>
      <c r="E155" s="21" t="s">
        <v>375</v>
      </c>
      <c r="F155" s="21" t="s">
        <v>341</v>
      </c>
      <c r="G155" s="21">
        <v>0</v>
      </c>
    </row>
    <row r="156" spans="2:7" ht="32" hidden="1" outlineLevel="1" x14ac:dyDescent="0.2">
      <c r="B156" s="21" t="s">
        <v>290</v>
      </c>
      <c r="C156" s="22" t="s">
        <v>291</v>
      </c>
      <c r="D156" s="21">
        <v>227</v>
      </c>
      <c r="E156" s="21" t="s">
        <v>376</v>
      </c>
      <c r="F156" s="21" t="s">
        <v>341</v>
      </c>
      <c r="G156" s="21">
        <v>0</v>
      </c>
    </row>
    <row r="157" spans="2:7" ht="32" hidden="1" outlineLevel="1" x14ac:dyDescent="0.2">
      <c r="B157" s="21" t="s">
        <v>294</v>
      </c>
      <c r="C157" s="22" t="s">
        <v>295</v>
      </c>
      <c r="D157" s="21">
        <v>229</v>
      </c>
      <c r="E157" s="21" t="s">
        <v>377</v>
      </c>
      <c r="F157" s="21" t="s">
        <v>341</v>
      </c>
      <c r="G157" s="21">
        <v>0</v>
      </c>
    </row>
    <row r="158" spans="2:7" ht="32" hidden="1" outlineLevel="1" x14ac:dyDescent="0.2">
      <c r="B158" s="21" t="s">
        <v>298</v>
      </c>
      <c r="C158" s="22" t="s">
        <v>299</v>
      </c>
      <c r="D158" s="21">
        <v>0</v>
      </c>
      <c r="E158" s="21" t="s">
        <v>378</v>
      </c>
      <c r="F158" s="21" t="s">
        <v>341</v>
      </c>
      <c r="G158" s="21">
        <v>0</v>
      </c>
    </row>
    <row r="159" spans="2:7" ht="32" hidden="1" outlineLevel="1" x14ac:dyDescent="0.2">
      <c r="B159" s="21" t="s">
        <v>302</v>
      </c>
      <c r="C159" s="22" t="s">
        <v>303</v>
      </c>
      <c r="D159" s="21">
        <v>200</v>
      </c>
      <c r="E159" s="21" t="s">
        <v>379</v>
      </c>
      <c r="F159" s="21" t="s">
        <v>341</v>
      </c>
      <c r="G159" s="21">
        <v>0</v>
      </c>
    </row>
    <row r="160" spans="2:7" ht="32" hidden="1" outlineLevel="1" x14ac:dyDescent="0.2">
      <c r="B160" s="21" t="s">
        <v>306</v>
      </c>
      <c r="C160" s="22" t="s">
        <v>307</v>
      </c>
      <c r="D160" s="21">
        <v>0</v>
      </c>
      <c r="E160" s="21" t="s">
        <v>380</v>
      </c>
      <c r="F160" s="21" t="s">
        <v>341</v>
      </c>
      <c r="G160" s="21">
        <v>0</v>
      </c>
    </row>
    <row r="161" spans="2:7" ht="32" hidden="1" outlineLevel="1" x14ac:dyDescent="0.2">
      <c r="B161" s="21" t="s">
        <v>310</v>
      </c>
      <c r="C161" s="22" t="s">
        <v>311</v>
      </c>
      <c r="D161" s="21">
        <v>0</v>
      </c>
      <c r="E161" s="21" t="s">
        <v>381</v>
      </c>
      <c r="F161" s="21" t="s">
        <v>341</v>
      </c>
      <c r="G161" s="21">
        <v>0</v>
      </c>
    </row>
    <row r="162" spans="2:7" ht="32" hidden="1" outlineLevel="1" x14ac:dyDescent="0.2">
      <c r="B162" s="21" t="s">
        <v>314</v>
      </c>
      <c r="C162" s="22" t="s">
        <v>315</v>
      </c>
      <c r="D162" s="21">
        <v>200</v>
      </c>
      <c r="E162" s="21" t="s">
        <v>382</v>
      </c>
      <c r="F162" s="21" t="s">
        <v>341</v>
      </c>
      <c r="G162" s="21">
        <v>0</v>
      </c>
    </row>
    <row r="163" spans="2:7" ht="32" hidden="1" outlineLevel="1" x14ac:dyDescent="0.2">
      <c r="B163" s="21" t="s">
        <v>318</v>
      </c>
      <c r="C163" s="22" t="s">
        <v>319</v>
      </c>
      <c r="D163" s="21">
        <v>200</v>
      </c>
      <c r="E163" s="21" t="s">
        <v>383</v>
      </c>
      <c r="F163" s="21" t="s">
        <v>341</v>
      </c>
      <c r="G163" s="21">
        <v>0</v>
      </c>
    </row>
    <row r="164" spans="2:7" ht="32" hidden="1" outlineLevel="1" x14ac:dyDescent="0.2">
      <c r="B164" s="21" t="s">
        <v>322</v>
      </c>
      <c r="C164" s="22" t="s">
        <v>323</v>
      </c>
      <c r="D164" s="21">
        <v>0</v>
      </c>
      <c r="E164" s="21" t="s">
        <v>384</v>
      </c>
      <c r="F164" s="21" t="s">
        <v>341</v>
      </c>
      <c r="G164" s="21">
        <v>0</v>
      </c>
    </row>
    <row r="165" spans="2:7" ht="32" hidden="1" outlineLevel="1" x14ac:dyDescent="0.2">
      <c r="B165" s="21" t="s">
        <v>326</v>
      </c>
      <c r="C165" s="22" t="s">
        <v>327</v>
      </c>
      <c r="D165" s="21">
        <v>209</v>
      </c>
      <c r="E165" s="21" t="s">
        <v>385</v>
      </c>
      <c r="F165" s="21" t="s">
        <v>341</v>
      </c>
      <c r="G165" s="21">
        <v>0</v>
      </c>
    </row>
    <row r="166" spans="2:7" ht="32" hidden="1" outlineLevel="1" x14ac:dyDescent="0.2">
      <c r="B166" s="21" t="s">
        <v>330</v>
      </c>
      <c r="C166" s="22" t="s">
        <v>331</v>
      </c>
      <c r="D166" s="21">
        <v>195</v>
      </c>
      <c r="E166" s="21" t="s">
        <v>386</v>
      </c>
      <c r="F166" s="21" t="s">
        <v>345</v>
      </c>
      <c r="G166" s="21">
        <v>5</v>
      </c>
    </row>
    <row r="167" spans="2:7" ht="32" hidden="1" outlineLevel="1" x14ac:dyDescent="0.2">
      <c r="B167" s="21" t="s">
        <v>334</v>
      </c>
      <c r="C167" s="22" t="s">
        <v>335</v>
      </c>
      <c r="D167" s="21">
        <v>0</v>
      </c>
      <c r="E167" s="21" t="s">
        <v>387</v>
      </c>
      <c r="F167" s="21" t="s">
        <v>341</v>
      </c>
      <c r="G167" s="21">
        <v>0</v>
      </c>
    </row>
    <row r="168" spans="2:7" ht="32" hidden="1" outlineLevel="1" x14ac:dyDescent="0.2">
      <c r="B168" s="21" t="s">
        <v>338</v>
      </c>
      <c r="C168" s="22" t="s">
        <v>339</v>
      </c>
      <c r="D168" s="21">
        <v>0</v>
      </c>
      <c r="E168" s="21" t="s">
        <v>388</v>
      </c>
      <c r="F168" s="21" t="s">
        <v>341</v>
      </c>
      <c r="G168" s="21">
        <v>0</v>
      </c>
    </row>
    <row r="169" spans="2:7" collapsed="1" x14ac:dyDescent="0.2">
      <c r="B169" s="21"/>
      <c r="C169" s="22"/>
      <c r="D169" s="21"/>
      <c r="E169" s="21"/>
      <c r="F169" s="21"/>
      <c r="G169" s="21"/>
    </row>
    <row r="170" spans="2:7" x14ac:dyDescent="0.2">
      <c r="B170" s="27" t="s">
        <v>446</v>
      </c>
      <c r="C170" s="22"/>
      <c r="D170" s="21"/>
      <c r="E170" s="21"/>
      <c r="F170" s="21"/>
      <c r="G170" s="21"/>
    </row>
    <row r="171" spans="2:7" ht="32" hidden="1" outlineLevel="1" x14ac:dyDescent="0.2">
      <c r="B171" s="21" t="s">
        <v>154</v>
      </c>
      <c r="C171" s="22" t="s">
        <v>155</v>
      </c>
      <c r="D171" s="21">
        <v>0</v>
      </c>
      <c r="E171" s="21" t="s">
        <v>389</v>
      </c>
      <c r="F171" s="21" t="s">
        <v>341</v>
      </c>
      <c r="G171" s="21">
        <v>0</v>
      </c>
    </row>
    <row r="172" spans="2:7" ht="32" hidden="1" outlineLevel="1" x14ac:dyDescent="0.2">
      <c r="B172" s="21" t="s">
        <v>158</v>
      </c>
      <c r="C172" s="22" t="s">
        <v>159</v>
      </c>
      <c r="D172" s="21">
        <v>200</v>
      </c>
      <c r="E172" s="21" t="s">
        <v>390</v>
      </c>
      <c r="F172" s="21" t="s">
        <v>345</v>
      </c>
      <c r="G172" s="21">
        <v>100</v>
      </c>
    </row>
    <row r="173" spans="2:7" ht="32" hidden="1" outlineLevel="1" x14ac:dyDescent="0.2">
      <c r="B173" s="21" t="s">
        <v>162</v>
      </c>
      <c r="C173" s="22" t="s">
        <v>163</v>
      </c>
      <c r="D173" s="21">
        <v>205</v>
      </c>
      <c r="E173" s="21" t="s">
        <v>391</v>
      </c>
      <c r="F173" s="21" t="s">
        <v>345</v>
      </c>
      <c r="G173" s="21">
        <v>105</v>
      </c>
    </row>
    <row r="174" spans="2:7" ht="32" hidden="1" outlineLevel="1" x14ac:dyDescent="0.2">
      <c r="B174" s="21" t="s">
        <v>166</v>
      </c>
      <c r="C174" s="22" t="s">
        <v>167</v>
      </c>
      <c r="D174" s="21">
        <v>100</v>
      </c>
      <c r="E174" s="21" t="s">
        <v>392</v>
      </c>
      <c r="F174" s="21" t="s">
        <v>341</v>
      </c>
      <c r="G174" s="21">
        <v>0</v>
      </c>
    </row>
    <row r="175" spans="2:7" ht="32" hidden="1" outlineLevel="1" x14ac:dyDescent="0.2">
      <c r="B175" s="21" t="s">
        <v>170</v>
      </c>
      <c r="C175" s="22" t="s">
        <v>171</v>
      </c>
      <c r="D175" s="21">
        <v>0</v>
      </c>
      <c r="E175" s="21" t="s">
        <v>393</v>
      </c>
      <c r="F175" s="21" t="s">
        <v>341</v>
      </c>
      <c r="G175" s="21">
        <v>0</v>
      </c>
    </row>
    <row r="176" spans="2:7" ht="32" hidden="1" outlineLevel="1" x14ac:dyDescent="0.2">
      <c r="B176" s="21" t="s">
        <v>174</v>
      </c>
      <c r="C176" s="22" t="s">
        <v>175</v>
      </c>
      <c r="D176" s="21">
        <v>200</v>
      </c>
      <c r="E176" s="21" t="s">
        <v>394</v>
      </c>
      <c r="F176" s="21" t="s">
        <v>345</v>
      </c>
      <c r="G176" s="21">
        <v>100</v>
      </c>
    </row>
    <row r="177" spans="2:7" ht="32" hidden="1" outlineLevel="1" x14ac:dyDescent="0.2">
      <c r="B177" s="21" t="s">
        <v>178</v>
      </c>
      <c r="C177" s="22" t="s">
        <v>179</v>
      </c>
      <c r="D177" s="21">
        <v>0</v>
      </c>
      <c r="E177" s="21" t="s">
        <v>395</v>
      </c>
      <c r="F177" s="21" t="s">
        <v>341</v>
      </c>
      <c r="G177" s="21">
        <v>0</v>
      </c>
    </row>
    <row r="178" spans="2:7" ht="32" hidden="1" outlineLevel="1" x14ac:dyDescent="0.2">
      <c r="B178" s="21" t="s">
        <v>182</v>
      </c>
      <c r="C178" s="22" t="s">
        <v>183</v>
      </c>
      <c r="D178" s="21">
        <v>0</v>
      </c>
      <c r="E178" s="21" t="s">
        <v>396</v>
      </c>
      <c r="F178" s="21" t="s">
        <v>341</v>
      </c>
      <c r="G178" s="21">
        <v>0</v>
      </c>
    </row>
    <row r="179" spans="2:7" ht="32" hidden="1" outlineLevel="1" x14ac:dyDescent="0.2">
      <c r="B179" s="21" t="s">
        <v>186</v>
      </c>
      <c r="C179" s="22" t="s">
        <v>187</v>
      </c>
      <c r="D179" s="21">
        <v>0</v>
      </c>
      <c r="E179" s="21" t="s">
        <v>397</v>
      </c>
      <c r="F179" s="21" t="s">
        <v>341</v>
      </c>
      <c r="G179" s="21">
        <v>0</v>
      </c>
    </row>
    <row r="180" spans="2:7" ht="32" hidden="1" outlineLevel="1" x14ac:dyDescent="0.2">
      <c r="B180" s="21" t="s">
        <v>190</v>
      </c>
      <c r="C180" s="22" t="s">
        <v>191</v>
      </c>
      <c r="D180" s="21">
        <v>0</v>
      </c>
      <c r="E180" s="21" t="s">
        <v>398</v>
      </c>
      <c r="F180" s="21" t="s">
        <v>341</v>
      </c>
      <c r="G180" s="21">
        <v>0</v>
      </c>
    </row>
    <row r="181" spans="2:7" ht="32" hidden="1" outlineLevel="1" x14ac:dyDescent="0.2">
      <c r="B181" s="21" t="s">
        <v>194</v>
      </c>
      <c r="C181" s="22" t="s">
        <v>195</v>
      </c>
      <c r="D181" s="21">
        <v>232</v>
      </c>
      <c r="E181" s="21" t="s">
        <v>399</v>
      </c>
      <c r="F181" s="21" t="s">
        <v>345</v>
      </c>
      <c r="G181" s="21">
        <v>132</v>
      </c>
    </row>
    <row r="182" spans="2:7" ht="32" hidden="1" outlineLevel="1" x14ac:dyDescent="0.2">
      <c r="B182" s="21" t="s">
        <v>198</v>
      </c>
      <c r="C182" s="22" t="s">
        <v>199</v>
      </c>
      <c r="D182" s="21">
        <v>0</v>
      </c>
      <c r="E182" s="21" t="s">
        <v>400</v>
      </c>
      <c r="F182" s="21" t="s">
        <v>341</v>
      </c>
      <c r="G182" s="21">
        <v>0</v>
      </c>
    </row>
    <row r="183" spans="2:7" ht="32" hidden="1" outlineLevel="1" x14ac:dyDescent="0.2">
      <c r="B183" s="21" t="s">
        <v>202</v>
      </c>
      <c r="C183" s="22" t="s">
        <v>203</v>
      </c>
      <c r="D183" s="21">
        <v>200</v>
      </c>
      <c r="E183" s="21" t="s">
        <v>401</v>
      </c>
      <c r="F183" s="21" t="s">
        <v>345</v>
      </c>
      <c r="G183" s="21">
        <v>100</v>
      </c>
    </row>
    <row r="184" spans="2:7" ht="32" hidden="1" outlineLevel="1" x14ac:dyDescent="0.2">
      <c r="B184" s="21" t="s">
        <v>206</v>
      </c>
      <c r="C184" s="22" t="s">
        <v>207</v>
      </c>
      <c r="D184" s="21">
        <v>200</v>
      </c>
      <c r="E184" s="21" t="s">
        <v>402</v>
      </c>
      <c r="F184" s="21" t="s">
        <v>345</v>
      </c>
      <c r="G184" s="21">
        <v>100</v>
      </c>
    </row>
    <row r="185" spans="2:7" ht="32" hidden="1" outlineLevel="1" x14ac:dyDescent="0.2">
      <c r="B185" s="21" t="s">
        <v>210</v>
      </c>
      <c r="C185" s="22" t="s">
        <v>211</v>
      </c>
      <c r="D185" s="21">
        <v>200</v>
      </c>
      <c r="E185" s="21" t="s">
        <v>403</v>
      </c>
      <c r="F185" s="21" t="s">
        <v>345</v>
      </c>
      <c r="G185" s="21">
        <v>100</v>
      </c>
    </row>
    <row r="186" spans="2:7" ht="32" hidden="1" outlineLevel="1" x14ac:dyDescent="0.2">
      <c r="B186" s="21" t="s">
        <v>214</v>
      </c>
      <c r="C186" s="22" t="s">
        <v>215</v>
      </c>
      <c r="D186" s="21">
        <v>0</v>
      </c>
      <c r="E186" s="21" t="s">
        <v>404</v>
      </c>
      <c r="F186" s="21" t="s">
        <v>341</v>
      </c>
      <c r="G186" s="21">
        <v>0</v>
      </c>
    </row>
    <row r="187" spans="2:7" ht="32" hidden="1" outlineLevel="1" x14ac:dyDescent="0.2">
      <c r="B187" s="21" t="s">
        <v>218</v>
      </c>
      <c r="C187" s="22" t="s">
        <v>219</v>
      </c>
      <c r="D187" s="21">
        <v>232</v>
      </c>
      <c r="E187" s="21" t="s">
        <v>405</v>
      </c>
      <c r="F187" s="21" t="s">
        <v>345</v>
      </c>
      <c r="G187" s="21">
        <v>132</v>
      </c>
    </row>
    <row r="188" spans="2:7" ht="32" hidden="1" outlineLevel="1" x14ac:dyDescent="0.2">
      <c r="B188" s="21" t="s">
        <v>222</v>
      </c>
      <c r="C188" s="22" t="s">
        <v>223</v>
      </c>
      <c r="D188" s="21">
        <v>0</v>
      </c>
      <c r="E188" s="21" t="s">
        <v>406</v>
      </c>
      <c r="F188" s="21" t="s">
        <v>341</v>
      </c>
      <c r="G188" s="21">
        <v>0</v>
      </c>
    </row>
    <row r="189" spans="2:7" ht="32" hidden="1" outlineLevel="1" x14ac:dyDescent="0.2">
      <c r="B189" s="21" t="s">
        <v>226</v>
      </c>
      <c r="C189" s="22" t="s">
        <v>227</v>
      </c>
      <c r="D189" s="21">
        <v>200</v>
      </c>
      <c r="E189" s="21" t="s">
        <v>407</v>
      </c>
      <c r="F189" s="21" t="s">
        <v>345</v>
      </c>
      <c r="G189" s="21">
        <v>100</v>
      </c>
    </row>
    <row r="190" spans="2:7" ht="32" hidden="1" outlineLevel="1" x14ac:dyDescent="0.2">
      <c r="B190" s="21" t="s">
        <v>230</v>
      </c>
      <c r="C190" s="22" t="s">
        <v>231</v>
      </c>
      <c r="D190" s="21">
        <v>261</v>
      </c>
      <c r="E190" s="21" t="s">
        <v>408</v>
      </c>
      <c r="F190" s="21" t="s">
        <v>345</v>
      </c>
      <c r="G190" s="21">
        <v>161</v>
      </c>
    </row>
    <row r="191" spans="2:7" ht="32" hidden="1" outlineLevel="1" x14ac:dyDescent="0.2">
      <c r="B191" s="21" t="s">
        <v>234</v>
      </c>
      <c r="C191" s="22" t="s">
        <v>235</v>
      </c>
      <c r="D191" s="21">
        <v>0</v>
      </c>
      <c r="E191" s="21" t="s">
        <v>409</v>
      </c>
      <c r="F191" s="21" t="s">
        <v>341</v>
      </c>
      <c r="G191" s="21">
        <v>0</v>
      </c>
    </row>
    <row r="192" spans="2:7" ht="32" hidden="1" outlineLevel="1" x14ac:dyDescent="0.2">
      <c r="B192" s="21" t="s">
        <v>238</v>
      </c>
      <c r="C192" s="22" t="s">
        <v>239</v>
      </c>
      <c r="D192" s="21">
        <v>0</v>
      </c>
      <c r="E192" s="21" t="s">
        <v>410</v>
      </c>
      <c r="F192" s="21" t="s">
        <v>341</v>
      </c>
      <c r="G192" s="21">
        <v>0</v>
      </c>
    </row>
    <row r="193" spans="2:7" ht="32" hidden="1" outlineLevel="1" x14ac:dyDescent="0.2">
      <c r="B193" s="21" t="s">
        <v>242</v>
      </c>
      <c r="C193" s="22" t="s">
        <v>243</v>
      </c>
      <c r="D193" s="21">
        <v>0</v>
      </c>
      <c r="E193" s="21" t="s">
        <v>411</v>
      </c>
      <c r="F193" s="21" t="s">
        <v>341</v>
      </c>
      <c r="G193" s="21">
        <v>0</v>
      </c>
    </row>
    <row r="194" spans="2:7" ht="32" hidden="1" outlineLevel="1" x14ac:dyDescent="0.2">
      <c r="B194" s="21" t="s">
        <v>246</v>
      </c>
      <c r="C194" s="22" t="s">
        <v>247</v>
      </c>
      <c r="D194" s="21">
        <v>200</v>
      </c>
      <c r="E194" s="21" t="s">
        <v>412</v>
      </c>
      <c r="F194" s="21" t="s">
        <v>345</v>
      </c>
      <c r="G194" s="21">
        <v>100</v>
      </c>
    </row>
    <row r="195" spans="2:7" ht="32" hidden="1" outlineLevel="1" x14ac:dyDescent="0.2">
      <c r="B195" s="21" t="s">
        <v>250</v>
      </c>
      <c r="C195" s="22" t="s">
        <v>251</v>
      </c>
      <c r="D195" s="21">
        <v>0</v>
      </c>
      <c r="E195" s="21" t="s">
        <v>413</v>
      </c>
      <c r="F195" s="21" t="s">
        <v>341</v>
      </c>
      <c r="G195" s="21">
        <v>0</v>
      </c>
    </row>
    <row r="196" spans="2:7" ht="32" hidden="1" outlineLevel="1" x14ac:dyDescent="0.2">
      <c r="B196" s="21" t="s">
        <v>254</v>
      </c>
      <c r="C196" s="22" t="s">
        <v>255</v>
      </c>
      <c r="D196" s="21">
        <v>200</v>
      </c>
      <c r="E196" s="21" t="s">
        <v>414</v>
      </c>
      <c r="F196" s="21" t="s">
        <v>345</v>
      </c>
      <c r="G196" s="21">
        <v>100</v>
      </c>
    </row>
    <row r="197" spans="2:7" ht="32" hidden="1" outlineLevel="1" x14ac:dyDescent="0.2">
      <c r="B197" s="21" t="s">
        <v>258</v>
      </c>
      <c r="C197" s="22" t="s">
        <v>259</v>
      </c>
      <c r="D197" s="21">
        <v>202</v>
      </c>
      <c r="E197" s="21" t="s">
        <v>415</v>
      </c>
      <c r="F197" s="21" t="s">
        <v>345</v>
      </c>
      <c r="G197" s="21">
        <v>102</v>
      </c>
    </row>
    <row r="198" spans="2:7" ht="32" hidden="1" outlineLevel="1" x14ac:dyDescent="0.2">
      <c r="B198" s="21" t="s">
        <v>262</v>
      </c>
      <c r="C198" s="22" t="s">
        <v>263</v>
      </c>
      <c r="D198" s="21">
        <v>553</v>
      </c>
      <c r="E198" s="21" t="s">
        <v>416</v>
      </c>
      <c r="F198" s="21" t="s">
        <v>345</v>
      </c>
      <c r="G198" s="21">
        <v>453</v>
      </c>
    </row>
    <row r="199" spans="2:7" ht="32" hidden="1" outlineLevel="1" x14ac:dyDescent="0.2">
      <c r="B199" s="21" t="s">
        <v>266</v>
      </c>
      <c r="C199" s="22" t="s">
        <v>267</v>
      </c>
      <c r="D199" s="21">
        <v>0</v>
      </c>
      <c r="E199" s="21" t="s">
        <v>417</v>
      </c>
      <c r="F199" s="21" t="s">
        <v>341</v>
      </c>
      <c r="G199" s="21">
        <v>0</v>
      </c>
    </row>
    <row r="200" spans="2:7" ht="32" hidden="1" outlineLevel="1" x14ac:dyDescent="0.2">
      <c r="B200" s="21" t="s">
        <v>270</v>
      </c>
      <c r="C200" s="22" t="s">
        <v>271</v>
      </c>
      <c r="D200" s="21">
        <v>490</v>
      </c>
      <c r="E200" s="21" t="s">
        <v>418</v>
      </c>
      <c r="F200" s="21" t="s">
        <v>345</v>
      </c>
      <c r="G200" s="21">
        <v>390</v>
      </c>
    </row>
    <row r="201" spans="2:7" ht="32" hidden="1" outlineLevel="1" x14ac:dyDescent="0.2">
      <c r="B201" s="21" t="s">
        <v>274</v>
      </c>
      <c r="C201" s="22" t="s">
        <v>275</v>
      </c>
      <c r="D201" s="21">
        <v>265</v>
      </c>
      <c r="E201" s="21" t="s">
        <v>419</v>
      </c>
      <c r="F201" s="21" t="s">
        <v>345</v>
      </c>
      <c r="G201" s="21">
        <v>165</v>
      </c>
    </row>
    <row r="202" spans="2:7" ht="32" hidden="1" outlineLevel="1" x14ac:dyDescent="0.2">
      <c r="B202" s="21" t="s">
        <v>278</v>
      </c>
      <c r="C202" s="22" t="s">
        <v>279</v>
      </c>
      <c r="D202" s="21">
        <v>200</v>
      </c>
      <c r="E202" s="21" t="s">
        <v>420</v>
      </c>
      <c r="F202" s="21" t="s">
        <v>345</v>
      </c>
      <c r="G202" s="21">
        <v>100</v>
      </c>
    </row>
    <row r="203" spans="2:7" ht="32" hidden="1" outlineLevel="1" x14ac:dyDescent="0.2">
      <c r="B203" s="21" t="s">
        <v>282</v>
      </c>
      <c r="C203" s="22" t="s">
        <v>283</v>
      </c>
      <c r="D203" s="21">
        <v>200</v>
      </c>
      <c r="E203" s="21" t="s">
        <v>421</v>
      </c>
      <c r="F203" s="21" t="s">
        <v>345</v>
      </c>
      <c r="G203" s="21">
        <v>100</v>
      </c>
    </row>
    <row r="204" spans="2:7" ht="32" hidden="1" outlineLevel="1" x14ac:dyDescent="0.2">
      <c r="B204" s="21" t="s">
        <v>286</v>
      </c>
      <c r="C204" s="22" t="s">
        <v>287</v>
      </c>
      <c r="D204" s="21">
        <v>0</v>
      </c>
      <c r="E204" s="21" t="s">
        <v>422</v>
      </c>
      <c r="F204" s="21" t="s">
        <v>341</v>
      </c>
      <c r="G204" s="21">
        <v>0</v>
      </c>
    </row>
    <row r="205" spans="2:7" ht="32" hidden="1" outlineLevel="1" x14ac:dyDescent="0.2">
      <c r="B205" s="21" t="s">
        <v>290</v>
      </c>
      <c r="C205" s="22" t="s">
        <v>291</v>
      </c>
      <c r="D205" s="21">
        <v>227</v>
      </c>
      <c r="E205" s="21" t="s">
        <v>423</v>
      </c>
      <c r="F205" s="21" t="s">
        <v>345</v>
      </c>
      <c r="G205" s="21">
        <v>127</v>
      </c>
    </row>
    <row r="206" spans="2:7" ht="32" hidden="1" outlineLevel="1" x14ac:dyDescent="0.2">
      <c r="B206" s="21" t="s">
        <v>294</v>
      </c>
      <c r="C206" s="22" t="s">
        <v>295</v>
      </c>
      <c r="D206" s="21">
        <v>229</v>
      </c>
      <c r="E206" s="21" t="s">
        <v>424</v>
      </c>
      <c r="F206" s="21" t="s">
        <v>345</v>
      </c>
      <c r="G206" s="21">
        <v>129</v>
      </c>
    </row>
    <row r="207" spans="2:7" ht="32" hidden="1" outlineLevel="1" x14ac:dyDescent="0.2">
      <c r="B207" s="21" t="s">
        <v>298</v>
      </c>
      <c r="C207" s="22" t="s">
        <v>299</v>
      </c>
      <c r="D207" s="21">
        <v>0</v>
      </c>
      <c r="E207" s="21" t="s">
        <v>425</v>
      </c>
      <c r="F207" s="21" t="s">
        <v>341</v>
      </c>
      <c r="G207" s="21">
        <v>0</v>
      </c>
    </row>
    <row r="208" spans="2:7" ht="32" hidden="1" outlineLevel="1" x14ac:dyDescent="0.2">
      <c r="B208" s="21" t="s">
        <v>302</v>
      </c>
      <c r="C208" s="22" t="s">
        <v>303</v>
      </c>
      <c r="D208" s="21">
        <v>200</v>
      </c>
      <c r="E208" s="21" t="s">
        <v>426</v>
      </c>
      <c r="F208" s="21" t="s">
        <v>345</v>
      </c>
      <c r="G208" s="21">
        <v>100</v>
      </c>
    </row>
    <row r="209" spans="2:7" ht="32" hidden="1" outlineLevel="1" x14ac:dyDescent="0.2">
      <c r="B209" s="21" t="s">
        <v>306</v>
      </c>
      <c r="C209" s="22" t="s">
        <v>307</v>
      </c>
      <c r="D209" s="21">
        <v>0</v>
      </c>
      <c r="E209" s="21" t="s">
        <v>427</v>
      </c>
      <c r="F209" s="21" t="s">
        <v>341</v>
      </c>
      <c r="G209" s="21">
        <v>0</v>
      </c>
    </row>
    <row r="210" spans="2:7" ht="32" hidden="1" outlineLevel="1" x14ac:dyDescent="0.2">
      <c r="B210" s="21" t="s">
        <v>310</v>
      </c>
      <c r="C210" s="22" t="s">
        <v>311</v>
      </c>
      <c r="D210" s="21">
        <v>0</v>
      </c>
      <c r="E210" s="21" t="s">
        <v>428</v>
      </c>
      <c r="F210" s="21" t="s">
        <v>341</v>
      </c>
      <c r="G210" s="21">
        <v>0</v>
      </c>
    </row>
    <row r="211" spans="2:7" ht="32" hidden="1" outlineLevel="1" x14ac:dyDescent="0.2">
      <c r="B211" s="21" t="s">
        <v>314</v>
      </c>
      <c r="C211" s="22" t="s">
        <v>315</v>
      </c>
      <c r="D211" s="21">
        <v>200</v>
      </c>
      <c r="E211" s="21" t="s">
        <v>429</v>
      </c>
      <c r="F211" s="21" t="s">
        <v>345</v>
      </c>
      <c r="G211" s="21">
        <v>100</v>
      </c>
    </row>
    <row r="212" spans="2:7" ht="32" hidden="1" outlineLevel="1" x14ac:dyDescent="0.2">
      <c r="B212" s="21" t="s">
        <v>318</v>
      </c>
      <c r="C212" s="22" t="s">
        <v>319</v>
      </c>
      <c r="D212" s="21">
        <v>200</v>
      </c>
      <c r="E212" s="21" t="s">
        <v>430</v>
      </c>
      <c r="F212" s="21" t="s">
        <v>345</v>
      </c>
      <c r="G212" s="21">
        <v>100</v>
      </c>
    </row>
    <row r="213" spans="2:7" ht="32" hidden="1" outlineLevel="1" x14ac:dyDescent="0.2">
      <c r="B213" s="21" t="s">
        <v>322</v>
      </c>
      <c r="C213" s="22" t="s">
        <v>323</v>
      </c>
      <c r="D213" s="21">
        <v>0</v>
      </c>
      <c r="E213" s="21" t="s">
        <v>431</v>
      </c>
      <c r="F213" s="21" t="s">
        <v>341</v>
      </c>
      <c r="G213" s="21">
        <v>0</v>
      </c>
    </row>
    <row r="214" spans="2:7" ht="32" hidden="1" outlineLevel="1" x14ac:dyDescent="0.2">
      <c r="B214" s="21" t="s">
        <v>326</v>
      </c>
      <c r="C214" s="22" t="s">
        <v>327</v>
      </c>
      <c r="D214" s="21">
        <v>209</v>
      </c>
      <c r="E214" s="21" t="s">
        <v>432</v>
      </c>
      <c r="F214" s="21" t="s">
        <v>345</v>
      </c>
      <c r="G214" s="21">
        <v>109</v>
      </c>
    </row>
    <row r="215" spans="2:7" ht="32" hidden="1" outlineLevel="1" x14ac:dyDescent="0.2">
      <c r="B215" s="21" t="s">
        <v>330</v>
      </c>
      <c r="C215" s="22" t="s">
        <v>331</v>
      </c>
      <c r="D215" s="21">
        <v>195</v>
      </c>
      <c r="E215" s="21" t="s">
        <v>433</v>
      </c>
      <c r="F215" s="21" t="s">
        <v>345</v>
      </c>
      <c r="G215" s="21">
        <v>95</v>
      </c>
    </row>
    <row r="216" spans="2:7" ht="32" hidden="1" outlineLevel="1" x14ac:dyDescent="0.2">
      <c r="B216" s="21" t="s">
        <v>334</v>
      </c>
      <c r="C216" s="22" t="s">
        <v>335</v>
      </c>
      <c r="D216" s="21">
        <v>0</v>
      </c>
      <c r="E216" s="21" t="s">
        <v>434</v>
      </c>
      <c r="F216" s="21" t="s">
        <v>341</v>
      </c>
      <c r="G216" s="21">
        <v>0</v>
      </c>
    </row>
    <row r="217" spans="2:7" ht="32" hidden="1" outlineLevel="1" x14ac:dyDescent="0.2">
      <c r="B217" s="21" t="s">
        <v>338</v>
      </c>
      <c r="C217" s="22" t="s">
        <v>339</v>
      </c>
      <c r="D217" s="21">
        <v>0</v>
      </c>
      <c r="E217" s="21" t="s">
        <v>435</v>
      </c>
      <c r="F217" s="21" t="s">
        <v>341</v>
      </c>
      <c r="G217" s="21">
        <v>0</v>
      </c>
    </row>
    <row r="218" spans="2:7" collapsed="1" x14ac:dyDescent="0.2">
      <c r="B218" s="21"/>
      <c r="C218" s="22"/>
      <c r="D218" s="21"/>
      <c r="E218" s="21"/>
      <c r="F218" s="21"/>
      <c r="G218" s="21"/>
    </row>
    <row r="219" spans="2:7" x14ac:dyDescent="0.2">
      <c r="B219" s="21" t="s">
        <v>436</v>
      </c>
      <c r="C219" s="21" t="s">
        <v>73</v>
      </c>
      <c r="D219" s="21">
        <v>19750934472</v>
      </c>
      <c r="E219" s="21" t="s">
        <v>437</v>
      </c>
      <c r="F219" s="21" t="s">
        <v>345</v>
      </c>
      <c r="G219" s="21">
        <v>53449065528</v>
      </c>
    </row>
    <row r="220" spans="2:7" x14ac:dyDescent="0.2">
      <c r="B220" s="21" t="s">
        <v>438</v>
      </c>
      <c r="C220" s="21" t="s">
        <v>88</v>
      </c>
      <c r="D220" s="21">
        <v>6000</v>
      </c>
      <c r="E220" s="21" t="s">
        <v>439</v>
      </c>
      <c r="F220" s="21" t="s">
        <v>345</v>
      </c>
      <c r="G220" s="21">
        <v>73199994000</v>
      </c>
    </row>
    <row r="221" spans="2:7" x14ac:dyDescent="0.2">
      <c r="B221" s="21" t="s">
        <v>438</v>
      </c>
      <c r="C221" s="21" t="s">
        <v>88</v>
      </c>
      <c r="D221" s="21">
        <v>6000</v>
      </c>
      <c r="E221" s="21" t="s">
        <v>440</v>
      </c>
      <c r="F221" s="21" t="s">
        <v>341</v>
      </c>
      <c r="G221" s="21">
        <v>0</v>
      </c>
    </row>
    <row r="222" spans="2:7" x14ac:dyDescent="0.2">
      <c r="B222" s="21" t="s">
        <v>441</v>
      </c>
      <c r="C222" s="21"/>
      <c r="D222" s="21"/>
      <c r="E222" s="21"/>
      <c r="F222" s="21"/>
      <c r="G222" s="21"/>
    </row>
    <row r="223" spans="2:7" ht="16" thickBot="1" x14ac:dyDescent="0.25">
      <c r="B223" s="20" t="s">
        <v>443</v>
      </c>
      <c r="C223" s="20"/>
      <c r="D223" s="20"/>
      <c r="E223" s="20"/>
      <c r="F223" s="20"/>
      <c r="G223" s="20"/>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U62"/>
  <sheetViews>
    <sheetView showGridLines="0" zoomScaleNormal="100" workbookViewId="0">
      <pane xSplit="2" ySplit="3" topLeftCell="K4" activePane="bottomRight" state="frozen"/>
      <selection pane="topRight" activeCell="K1" sqref="K1"/>
      <selection pane="bottomLeft" activeCell="A4" sqref="A4"/>
      <selection pane="bottomRight" activeCell="R18" sqref="R18"/>
    </sheetView>
  </sheetViews>
  <sheetFormatPr baseColWidth="10" defaultColWidth="8.6640625" defaultRowHeight="15" x14ac:dyDescent="0.2"/>
  <cols>
    <col min="1" max="1" width="4" customWidth="1"/>
    <col min="2" max="2" width="20" customWidth="1"/>
    <col min="3" max="3" width="12" customWidth="1"/>
    <col min="4" max="7" width="11" customWidth="1"/>
    <col min="8" max="9" width="8" customWidth="1"/>
    <col min="10" max="10" width="20" customWidth="1"/>
    <col min="11" max="12" width="12" customWidth="1"/>
    <col min="13" max="14" width="14" customWidth="1"/>
    <col min="16" max="16" width="3" customWidth="1"/>
    <col min="17" max="17" width="26" customWidth="1"/>
    <col min="18" max="18" width="16" customWidth="1"/>
    <col min="19" max="19" width="20" customWidth="1"/>
    <col min="20" max="21" width="24" customWidth="1"/>
  </cols>
  <sheetData>
    <row r="1" spans="2:21" ht="16.5" customHeight="1" x14ac:dyDescent="0.2">
      <c r="B1" s="30" t="s">
        <v>71</v>
      </c>
      <c r="C1" s="30"/>
      <c r="D1" s="30"/>
      <c r="E1" s="30"/>
      <c r="F1" s="30"/>
      <c r="G1" s="30"/>
      <c r="H1" s="30"/>
      <c r="I1" s="30"/>
      <c r="J1" s="30"/>
      <c r="K1" s="30"/>
      <c r="L1" s="30"/>
      <c r="M1" s="30"/>
      <c r="N1" s="30"/>
      <c r="Q1" s="31" t="s">
        <v>72</v>
      </c>
      <c r="R1" s="31"/>
    </row>
    <row r="2" spans="2:21" ht="45" customHeight="1" x14ac:dyDescent="0.2">
      <c r="B2" s="32"/>
      <c r="C2" s="32"/>
      <c r="D2" s="32"/>
      <c r="E2" s="32"/>
      <c r="F2" s="32"/>
      <c r="G2" s="32"/>
      <c r="H2" s="32"/>
      <c r="I2" s="32"/>
      <c r="J2" s="32"/>
      <c r="K2" s="32"/>
      <c r="L2" s="32"/>
      <c r="M2" s="32"/>
      <c r="N2" s="32"/>
      <c r="O2" s="32"/>
      <c r="Q2" s="2" t="s">
        <v>73</v>
      </c>
      <c r="R2" s="10">
        <f>SUM(O4:O50)</f>
        <v>19750934472</v>
      </c>
    </row>
    <row r="3" spans="2:21" ht="42" customHeight="1" x14ac:dyDescent="0.2">
      <c r="B3" s="8" t="s">
        <v>74</v>
      </c>
      <c r="C3" s="8" t="s">
        <v>75</v>
      </c>
      <c r="D3" s="8" t="s">
        <v>76</v>
      </c>
      <c r="E3" s="8" t="s">
        <v>77</v>
      </c>
      <c r="F3" s="8" t="s">
        <v>78</v>
      </c>
      <c r="G3" s="8" t="s">
        <v>79</v>
      </c>
      <c r="H3" s="8" t="s">
        <v>80</v>
      </c>
      <c r="I3" s="8" t="s">
        <v>81</v>
      </c>
      <c r="J3" s="8" t="s">
        <v>82</v>
      </c>
      <c r="K3" s="8" t="s">
        <v>83</v>
      </c>
      <c r="L3" s="8" t="s">
        <v>84</v>
      </c>
      <c r="M3" s="8" t="s">
        <v>85</v>
      </c>
      <c r="N3" s="8" t="s">
        <v>86</v>
      </c>
      <c r="O3" s="8" t="s">
        <v>87</v>
      </c>
      <c r="Q3" s="2" t="s">
        <v>88</v>
      </c>
      <c r="R3" s="10">
        <f>SUM(J4:J50)</f>
        <v>6000</v>
      </c>
      <c r="S3" s="8" t="s">
        <v>89</v>
      </c>
      <c r="T3" s="8" t="s">
        <v>90</v>
      </c>
      <c r="U3" s="8" t="s">
        <v>91</v>
      </c>
    </row>
    <row r="4" spans="2:21" x14ac:dyDescent="0.2">
      <c r="B4" s="9">
        <v>1</v>
      </c>
      <c r="C4" s="9" t="s">
        <v>19</v>
      </c>
      <c r="D4" s="11">
        <v>200</v>
      </c>
      <c r="E4" s="11">
        <v>-3.9343000000000003E-2</v>
      </c>
      <c r="F4" s="11">
        <v>0.49293599999999999</v>
      </c>
      <c r="G4" s="9">
        <f t="shared" ref="G4:G50" si="0">(T4-MIN($T$4:$T$50))/(MAX($T$4:$T$50)-MIN($T$4:$T$50))</f>
        <v>9.5865366198561369E-2</v>
      </c>
      <c r="H4" s="9">
        <f t="shared" ref="H4:H50" si="1">(F4-MIN($F$4:$F$50))/(MAX($F$4:$F$50)-MIN($F$4:$F$50))</f>
        <v>0.49293549293549294</v>
      </c>
      <c r="I4" s="12">
        <v>0</v>
      </c>
      <c r="J4" s="12">
        <v>0</v>
      </c>
      <c r="K4" s="9">
        <f t="shared" ref="K4:K50" si="2">($C$57*G4+$C$58*H4)*J4</f>
        <v>0</v>
      </c>
      <c r="L4" s="9">
        <f t="shared" ref="L4:L50" si="3">D4*I4</f>
        <v>0</v>
      </c>
      <c r="M4" s="9">
        <f t="shared" ref="M4:M50" si="4">$C$56*I4</f>
        <v>0</v>
      </c>
      <c r="N4" s="11">
        <v>3291493.86</v>
      </c>
      <c r="O4" s="9">
        <f t="shared" ref="O4:O50" si="5">N4*J4</f>
        <v>0</v>
      </c>
      <c r="Q4" s="2" t="s">
        <v>92</v>
      </c>
      <c r="R4" s="10">
        <f>SUM(K4:K50)</f>
        <v>3216.6189862085748</v>
      </c>
      <c r="S4" s="11">
        <v>780740</v>
      </c>
      <c r="T4" s="11">
        <f t="shared" ref="T4:T50" si="6">S4*(E4-MIN($E$4:$E$50))/(MAX($E$4:$E$50)-MIN($E$4:$E$50))</f>
        <v>421933.78542930848</v>
      </c>
      <c r="U4" s="11" t="str">
        <f>IF(J4=IFERROR(INDEX(Notebook_Reference!$F$3:$F$49,MATCH(C4,Notebook_Reference!$A$3:$A$49,0)),"?"),"OK match","DIFFERS")</f>
        <v>OK match</v>
      </c>
    </row>
    <row r="5" spans="2:21" x14ac:dyDescent="0.2">
      <c r="B5" s="9">
        <v>2</v>
      </c>
      <c r="C5" s="9" t="s">
        <v>22</v>
      </c>
      <c r="D5" s="11">
        <v>200</v>
      </c>
      <c r="E5" s="11">
        <v>-7.4642E-2</v>
      </c>
      <c r="F5" s="11">
        <v>0.92631399999999997</v>
      </c>
      <c r="G5" s="9">
        <f t="shared" si="0"/>
        <v>0.11395163264112623</v>
      </c>
      <c r="H5" s="9">
        <f t="shared" si="1"/>
        <v>0.92631392631392628</v>
      </c>
      <c r="I5" s="12">
        <v>1</v>
      </c>
      <c r="J5" s="12">
        <v>200</v>
      </c>
      <c r="K5" s="9">
        <f t="shared" si="2"/>
        <v>87.779310022049259</v>
      </c>
      <c r="L5" s="9">
        <f t="shared" si="3"/>
        <v>200</v>
      </c>
      <c r="M5" s="9">
        <f t="shared" si="4"/>
        <v>100</v>
      </c>
      <c r="N5" s="11">
        <v>3291493.11</v>
      </c>
      <c r="O5" s="9">
        <f t="shared" si="5"/>
        <v>658298622</v>
      </c>
      <c r="Q5" s="2" t="s">
        <v>93</v>
      </c>
      <c r="R5" s="10">
        <f>$C$54-$R$2</f>
        <v>53449065528</v>
      </c>
      <c r="S5" s="11">
        <v>1025380</v>
      </c>
      <c r="T5" s="11">
        <f t="shared" si="6"/>
        <v>501537.16219614114</v>
      </c>
      <c r="U5" s="11" t="str">
        <f>IF(J5=IFERROR(INDEX(Notebook_Reference!$F$3:$F$49,MATCH(C5,Notebook_Reference!$A$3:$A$49,0)),"?"),"OK match","DIFFERS")</f>
        <v>OK match</v>
      </c>
    </row>
    <row r="6" spans="2:21" x14ac:dyDescent="0.2">
      <c r="B6" s="9">
        <v>3</v>
      </c>
      <c r="C6" s="9" t="s">
        <v>24</v>
      </c>
      <c r="D6" s="11">
        <v>205</v>
      </c>
      <c r="E6" s="11">
        <v>-2.3210999999999999E-2</v>
      </c>
      <c r="F6" s="11">
        <v>1</v>
      </c>
      <c r="G6" s="9">
        <f t="shared" si="0"/>
        <v>0.25061085436996711</v>
      </c>
      <c r="H6" s="9">
        <f t="shared" si="1"/>
        <v>1</v>
      </c>
      <c r="I6" s="12">
        <v>1</v>
      </c>
      <c r="J6" s="12">
        <v>205</v>
      </c>
      <c r="K6" s="9">
        <f t="shared" si="2"/>
        <v>112.82513508750597</v>
      </c>
      <c r="L6" s="9">
        <f t="shared" si="3"/>
        <v>205</v>
      </c>
      <c r="M6" s="9">
        <f t="shared" si="4"/>
        <v>100</v>
      </c>
      <c r="N6" s="11">
        <v>3291492.36</v>
      </c>
      <c r="O6" s="9">
        <f t="shared" si="5"/>
        <v>674755933.79999995</v>
      </c>
      <c r="Q6" s="2" t="s">
        <v>94</v>
      </c>
      <c r="R6" s="10">
        <f>$C$55-$R$3</f>
        <v>0</v>
      </c>
      <c r="S6" s="11">
        <v>1956139</v>
      </c>
      <c r="T6" s="11">
        <f t="shared" si="6"/>
        <v>1103017.6031975583</v>
      </c>
      <c r="U6" s="11" t="str">
        <f>IF(J6=IFERROR(INDEX(Notebook_Reference!$F$3:$F$49,MATCH(C6,Notebook_Reference!$A$3:$A$49,0)),"?"),"OK match","DIFFERS")</f>
        <v>OK match</v>
      </c>
    </row>
    <row r="7" spans="2:21" x14ac:dyDescent="0.2">
      <c r="B7" s="9">
        <v>4</v>
      </c>
      <c r="C7" s="9" t="s">
        <v>25</v>
      </c>
      <c r="D7" s="11">
        <v>210</v>
      </c>
      <c r="E7" s="11">
        <v>9.5606999999999998E-2</v>
      </c>
      <c r="F7" s="11">
        <v>0.79362299999999997</v>
      </c>
      <c r="G7" s="9">
        <f t="shared" si="0"/>
        <v>0.175125190271753</v>
      </c>
      <c r="H7" s="9">
        <f t="shared" si="1"/>
        <v>0.79362279362279353</v>
      </c>
      <c r="I7" s="12">
        <v>1</v>
      </c>
      <c r="J7" s="12">
        <v>100</v>
      </c>
      <c r="K7" s="9">
        <f t="shared" si="2"/>
        <v>42.252423161216925</v>
      </c>
      <c r="L7" s="9">
        <f t="shared" si="3"/>
        <v>210</v>
      </c>
      <c r="M7" s="9">
        <f t="shared" si="4"/>
        <v>100</v>
      </c>
      <c r="N7" s="11">
        <v>3291493.11</v>
      </c>
      <c r="O7" s="9">
        <f t="shared" si="5"/>
        <v>329149311</v>
      </c>
      <c r="S7" s="11">
        <v>1046448</v>
      </c>
      <c r="T7" s="11">
        <f t="shared" si="6"/>
        <v>770781.32995748695</v>
      </c>
      <c r="U7" s="11" t="str">
        <f>IF(J7=IFERROR(INDEX(Notebook_Reference!$F$3:$F$49,MATCH(C7,Notebook_Reference!$A$3:$A$49,0)),"?"),"OK match","DIFFERS")</f>
        <v>OK match</v>
      </c>
    </row>
    <row r="8" spans="2:21" x14ac:dyDescent="0.2">
      <c r="B8" s="9">
        <v>5</v>
      </c>
      <c r="C8" s="9" t="s">
        <v>26</v>
      </c>
      <c r="D8" s="11">
        <v>200</v>
      </c>
      <c r="E8" s="11">
        <v>-4.3718E-2</v>
      </c>
      <c r="F8" s="11">
        <v>0.77807599999999999</v>
      </c>
      <c r="G8" s="9">
        <f t="shared" si="0"/>
        <v>6.4575025214322596E-2</v>
      </c>
      <c r="H8" s="9">
        <f t="shared" si="1"/>
        <v>0.7780757780757781</v>
      </c>
      <c r="I8" s="12">
        <v>0</v>
      </c>
      <c r="J8" s="12">
        <v>0</v>
      </c>
      <c r="K8" s="9">
        <f t="shared" si="2"/>
        <v>0</v>
      </c>
      <c r="L8" s="9">
        <f t="shared" si="3"/>
        <v>0</v>
      </c>
      <c r="M8" s="9">
        <f t="shared" si="4"/>
        <v>0</v>
      </c>
      <c r="N8" s="11">
        <v>3291507.36</v>
      </c>
      <c r="O8" s="9">
        <f t="shared" si="5"/>
        <v>0</v>
      </c>
      <c r="S8" s="11">
        <v>532169</v>
      </c>
      <c r="T8" s="11">
        <f t="shared" si="6"/>
        <v>284215.10200501437</v>
      </c>
      <c r="U8" s="11" t="str">
        <f>IF(J8=IFERROR(INDEX(Notebook_Reference!$F$3:$F$49,MATCH(C8,Notebook_Reference!$A$3:$A$49,0)),"?"),"OK match","DIFFERS")</f>
        <v>OK match</v>
      </c>
    </row>
    <row r="9" spans="2:21" x14ac:dyDescent="0.2">
      <c r="B9" s="9">
        <v>6</v>
      </c>
      <c r="C9" s="9" t="s">
        <v>27</v>
      </c>
      <c r="D9" s="11">
        <v>200</v>
      </c>
      <c r="E9" s="11">
        <v>-4.0799000000000002E-2</v>
      </c>
      <c r="F9" s="11">
        <v>1</v>
      </c>
      <c r="G9" s="9">
        <f t="shared" si="0"/>
        <v>8.7160136194795609E-2</v>
      </c>
      <c r="H9" s="9">
        <f t="shared" si="1"/>
        <v>1</v>
      </c>
      <c r="I9" s="12">
        <v>1</v>
      </c>
      <c r="J9" s="12">
        <v>200</v>
      </c>
      <c r="K9" s="9">
        <f t="shared" si="2"/>
        <v>90.459216343375488</v>
      </c>
      <c r="L9" s="9">
        <f t="shared" si="3"/>
        <v>200</v>
      </c>
      <c r="M9" s="9">
        <f t="shared" si="4"/>
        <v>100</v>
      </c>
      <c r="N9" s="11">
        <v>3291493.11</v>
      </c>
      <c r="O9" s="9">
        <f t="shared" si="5"/>
        <v>658298622</v>
      </c>
      <c r="S9" s="11">
        <v>712634</v>
      </c>
      <c r="T9" s="11">
        <f t="shared" si="6"/>
        <v>383619.3159376476</v>
      </c>
      <c r="U9" s="11" t="str">
        <f>IF(J9=IFERROR(INDEX(Notebook_Reference!$F$3:$F$49,MATCH(C9,Notebook_Reference!$A$3:$A$49,0)),"?"),"OK match","DIFFERS")</f>
        <v>OK match</v>
      </c>
    </row>
    <row r="10" spans="2:21" x14ac:dyDescent="0.2">
      <c r="B10" s="9">
        <v>7</v>
      </c>
      <c r="C10" s="9" t="s">
        <v>28</v>
      </c>
      <c r="D10" s="11">
        <v>200</v>
      </c>
      <c r="E10" s="11">
        <v>-0.30649700000000002</v>
      </c>
      <c r="F10" s="11">
        <v>1</v>
      </c>
      <c r="G10" s="9">
        <f t="shared" si="0"/>
        <v>3.4053787194127876E-2</v>
      </c>
      <c r="H10" s="9">
        <f t="shared" si="1"/>
        <v>1</v>
      </c>
      <c r="I10" s="12">
        <v>0</v>
      </c>
      <c r="J10" s="12">
        <v>0</v>
      </c>
      <c r="K10" s="9">
        <f t="shared" si="2"/>
        <v>0</v>
      </c>
      <c r="L10" s="9">
        <f t="shared" si="3"/>
        <v>0</v>
      </c>
      <c r="M10" s="9">
        <f t="shared" si="4"/>
        <v>0</v>
      </c>
      <c r="N10" s="11">
        <v>3291493.11</v>
      </c>
      <c r="O10" s="9">
        <f t="shared" si="5"/>
        <v>0</v>
      </c>
      <c r="S10" s="11">
        <v>985175</v>
      </c>
      <c r="T10" s="11">
        <f t="shared" si="6"/>
        <v>149881.48388503323</v>
      </c>
      <c r="U10" s="11" t="str">
        <f>IF(J10=IFERROR(INDEX(Notebook_Reference!$F$3:$F$49,MATCH(C10,Notebook_Reference!$A$3:$A$49,0)),"?"),"OK match","DIFFERS")</f>
        <v>OK match</v>
      </c>
    </row>
    <row r="11" spans="2:21" x14ac:dyDescent="0.2">
      <c r="B11" s="9">
        <v>8</v>
      </c>
      <c r="C11" s="9" t="s">
        <v>29</v>
      </c>
      <c r="D11" s="11">
        <v>200</v>
      </c>
      <c r="E11" s="11">
        <v>-4.1147000000000003E-2</v>
      </c>
      <c r="F11" s="11">
        <v>0.60688399999999998</v>
      </c>
      <c r="G11" s="9">
        <f t="shared" si="0"/>
        <v>0.16195914474256595</v>
      </c>
      <c r="H11" s="9">
        <f t="shared" si="1"/>
        <v>0.60688360688360687</v>
      </c>
      <c r="I11" s="12">
        <v>0</v>
      </c>
      <c r="J11" s="12">
        <v>0</v>
      </c>
      <c r="K11" s="9">
        <f t="shared" si="2"/>
        <v>0</v>
      </c>
      <c r="L11" s="9">
        <f t="shared" si="3"/>
        <v>0</v>
      </c>
      <c r="M11" s="9">
        <f t="shared" si="4"/>
        <v>0</v>
      </c>
      <c r="N11" s="11">
        <v>3291489.36</v>
      </c>
      <c r="O11" s="9">
        <f t="shared" si="5"/>
        <v>0</v>
      </c>
      <c r="S11" s="11">
        <v>1325447</v>
      </c>
      <c r="T11" s="11">
        <f t="shared" si="6"/>
        <v>712833.40100723086</v>
      </c>
      <c r="U11" s="11" t="str">
        <f>IF(J11=IFERROR(INDEX(Notebook_Reference!$F$3:$F$49,MATCH(C11,Notebook_Reference!$A$3:$A$49,0)),"?"),"OK match","DIFFERS")</f>
        <v>OK match</v>
      </c>
    </row>
    <row r="12" spans="2:21" x14ac:dyDescent="0.2">
      <c r="B12" s="9">
        <v>9</v>
      </c>
      <c r="C12" s="9" t="s">
        <v>30</v>
      </c>
      <c r="D12" s="11">
        <v>200</v>
      </c>
      <c r="E12" s="11">
        <v>-0.233018</v>
      </c>
      <c r="F12" s="11">
        <v>0.76242100000000002</v>
      </c>
      <c r="G12" s="9">
        <f t="shared" si="0"/>
        <v>1.8462055542070331E-2</v>
      </c>
      <c r="H12" s="9">
        <f t="shared" si="1"/>
        <v>0.7624207624207624</v>
      </c>
      <c r="I12" s="12">
        <v>0</v>
      </c>
      <c r="J12" s="12">
        <v>0</v>
      </c>
      <c r="K12" s="9">
        <f t="shared" si="2"/>
        <v>0</v>
      </c>
      <c r="L12" s="9">
        <f t="shared" si="3"/>
        <v>0</v>
      </c>
      <c r="M12" s="9">
        <f t="shared" si="4"/>
        <v>0</v>
      </c>
      <c r="N12" s="11">
        <v>3291494.01</v>
      </c>
      <c r="O12" s="9">
        <f t="shared" si="5"/>
        <v>0</v>
      </c>
      <c r="S12" s="11">
        <v>313815</v>
      </c>
      <c r="T12" s="11">
        <f t="shared" si="6"/>
        <v>81257.343403219362</v>
      </c>
      <c r="U12" s="11" t="str">
        <f>IF(J12=IFERROR(INDEX(Notebook_Reference!$F$3:$F$49,MATCH(C12,Notebook_Reference!$A$3:$A$49,0)),"?"),"OK match","DIFFERS")</f>
        <v>OK match</v>
      </c>
    </row>
    <row r="13" spans="2:21" x14ac:dyDescent="0.2">
      <c r="B13" s="9">
        <v>10</v>
      </c>
      <c r="C13" s="9" t="s">
        <v>31</v>
      </c>
      <c r="D13" s="11">
        <v>340</v>
      </c>
      <c r="E13" s="11">
        <v>-0.233185</v>
      </c>
      <c r="F13" s="11">
        <v>0.21188000000000001</v>
      </c>
      <c r="G13" s="9">
        <f t="shared" si="0"/>
        <v>7.6933204103292283E-2</v>
      </c>
      <c r="H13" s="9">
        <f t="shared" si="1"/>
        <v>0.21187921187921191</v>
      </c>
      <c r="I13" s="12">
        <v>0</v>
      </c>
      <c r="J13" s="12">
        <v>0</v>
      </c>
      <c r="K13" s="9">
        <f t="shared" si="2"/>
        <v>0</v>
      </c>
      <c r="L13" s="9">
        <f t="shared" si="3"/>
        <v>0</v>
      </c>
      <c r="M13" s="9">
        <f t="shared" si="4"/>
        <v>0</v>
      </c>
      <c r="N13" s="11">
        <v>3291492.36</v>
      </c>
      <c r="O13" s="9">
        <f t="shared" si="5"/>
        <v>0</v>
      </c>
      <c r="S13" s="11">
        <v>1308925</v>
      </c>
      <c r="T13" s="11">
        <f t="shared" si="6"/>
        <v>338607.35445659677</v>
      </c>
      <c r="U13" s="11" t="str">
        <f>IF(J13=IFERROR(INDEX(Notebook_Reference!$F$3:$F$49,MATCH(C13,Notebook_Reference!$A$3:$A$49,0)),"?"),"OK match","DIFFERS")</f>
        <v>OK match</v>
      </c>
    </row>
    <row r="14" spans="2:21" x14ac:dyDescent="0.2">
      <c r="B14" s="9">
        <v>11</v>
      </c>
      <c r="C14" s="9" t="s">
        <v>32</v>
      </c>
      <c r="D14" s="11">
        <v>232</v>
      </c>
      <c r="E14" s="11">
        <v>0.126411</v>
      </c>
      <c r="F14" s="11">
        <v>0.83320300000000003</v>
      </c>
      <c r="G14" s="9">
        <f t="shared" si="0"/>
        <v>0.38821468860801417</v>
      </c>
      <c r="H14" s="9">
        <f t="shared" si="1"/>
        <v>0.83320283320283317</v>
      </c>
      <c r="I14" s="12">
        <v>1</v>
      </c>
      <c r="J14" s="12">
        <v>232</v>
      </c>
      <c r="K14" s="9">
        <f t="shared" si="2"/>
        <v>131.36070757545849</v>
      </c>
      <c r="L14" s="9">
        <f t="shared" si="3"/>
        <v>232</v>
      </c>
      <c r="M14" s="9">
        <f t="shared" si="4"/>
        <v>100</v>
      </c>
      <c r="N14" s="11">
        <v>3297151.86</v>
      </c>
      <c r="O14" s="9">
        <f t="shared" si="5"/>
        <v>764939231.51999998</v>
      </c>
      <c r="S14" s="11">
        <v>2186825</v>
      </c>
      <c r="T14" s="11">
        <f t="shared" si="6"/>
        <v>1708655.5825006359</v>
      </c>
      <c r="U14" s="11" t="str">
        <f>IF(J14=IFERROR(INDEX(Notebook_Reference!$F$3:$F$49,MATCH(C14,Notebook_Reference!$A$3:$A$49,0)),"?"),"OK match","DIFFERS")</f>
        <v>OK match</v>
      </c>
    </row>
    <row r="15" spans="2:21" x14ac:dyDescent="0.2">
      <c r="B15" s="9">
        <v>12</v>
      </c>
      <c r="C15" s="9" t="s">
        <v>33</v>
      </c>
      <c r="D15" s="11">
        <v>200</v>
      </c>
      <c r="E15" s="11">
        <v>-0.100535</v>
      </c>
      <c r="F15" s="11">
        <v>0.875606</v>
      </c>
      <c r="G15" s="9">
        <f t="shared" si="0"/>
        <v>0.1083176691649636</v>
      </c>
      <c r="H15" s="9">
        <f t="shared" si="1"/>
        <v>0.87560587560587555</v>
      </c>
      <c r="I15" s="12">
        <v>0</v>
      </c>
      <c r="J15" s="12">
        <v>0</v>
      </c>
      <c r="K15" s="9">
        <f t="shared" si="2"/>
        <v>0</v>
      </c>
      <c r="L15" s="9">
        <f t="shared" si="3"/>
        <v>0</v>
      </c>
      <c r="M15" s="9">
        <f t="shared" si="4"/>
        <v>0</v>
      </c>
      <c r="N15" s="11">
        <v>3291493.11</v>
      </c>
      <c r="O15" s="9">
        <f t="shared" si="5"/>
        <v>0</v>
      </c>
      <c r="S15" s="11">
        <v>1055928</v>
      </c>
      <c r="T15" s="11">
        <f t="shared" si="6"/>
        <v>476740.30770393519</v>
      </c>
      <c r="U15" s="11" t="str">
        <f>IF(J15=IFERROR(INDEX(Notebook_Reference!$F$3:$F$49,MATCH(C15,Notebook_Reference!$A$3:$A$49,0)),"?"),"OK match","DIFFERS")</f>
        <v>OK match</v>
      </c>
    </row>
    <row r="16" spans="2:21" x14ac:dyDescent="0.2">
      <c r="B16" s="9">
        <v>13</v>
      </c>
      <c r="C16" s="9" t="s">
        <v>34</v>
      </c>
      <c r="D16" s="11">
        <v>200</v>
      </c>
      <c r="E16" s="11">
        <v>-8.8095999999999994E-2</v>
      </c>
      <c r="F16" s="11">
        <v>1</v>
      </c>
      <c r="G16" s="9">
        <f t="shared" si="0"/>
        <v>0.3020370863586857</v>
      </c>
      <c r="H16" s="9">
        <f t="shared" si="1"/>
        <v>1</v>
      </c>
      <c r="I16" s="12">
        <v>1</v>
      </c>
      <c r="J16" s="12">
        <v>200</v>
      </c>
      <c r="K16" s="9">
        <f t="shared" si="2"/>
        <v>116.24445036304229</v>
      </c>
      <c r="L16" s="9">
        <f t="shared" si="3"/>
        <v>200</v>
      </c>
      <c r="M16" s="9">
        <f t="shared" si="4"/>
        <v>100</v>
      </c>
      <c r="N16" s="11">
        <v>3291489.36</v>
      </c>
      <c r="O16" s="9">
        <f t="shared" si="5"/>
        <v>658297872</v>
      </c>
      <c r="S16" s="11">
        <v>2831025</v>
      </c>
      <c r="T16" s="11">
        <f t="shared" si="6"/>
        <v>1329360.7090948729</v>
      </c>
      <c r="U16" s="11" t="str">
        <f>IF(J16=IFERROR(INDEX(Notebook_Reference!$F$3:$F$49,MATCH(C16,Notebook_Reference!$A$3:$A$49,0)),"?"),"OK match","DIFFERS")</f>
        <v>OK match</v>
      </c>
    </row>
    <row r="17" spans="2:21" x14ac:dyDescent="0.2">
      <c r="B17" s="9">
        <v>14</v>
      </c>
      <c r="C17" s="9" t="s">
        <v>35</v>
      </c>
      <c r="D17" s="11">
        <v>200</v>
      </c>
      <c r="E17" s="11">
        <v>-9.4739000000000004E-2</v>
      </c>
      <c r="F17" s="11">
        <v>0.81817200000000001</v>
      </c>
      <c r="G17" s="9">
        <f t="shared" si="0"/>
        <v>0.17788095599701059</v>
      </c>
      <c r="H17" s="9">
        <f t="shared" si="1"/>
        <v>0.81817181817181817</v>
      </c>
      <c r="I17" s="12">
        <v>1</v>
      </c>
      <c r="J17" s="12">
        <v>200</v>
      </c>
      <c r="K17" s="9">
        <f t="shared" si="2"/>
        <v>86.799460173386734</v>
      </c>
      <c r="L17" s="9">
        <f t="shared" si="3"/>
        <v>200</v>
      </c>
      <c r="M17" s="9">
        <f t="shared" si="4"/>
        <v>100</v>
      </c>
      <c r="N17" s="11">
        <v>3291493.11</v>
      </c>
      <c r="O17" s="9">
        <f t="shared" si="5"/>
        <v>658298622</v>
      </c>
      <c r="S17" s="11">
        <v>1702299</v>
      </c>
      <c r="T17" s="11">
        <f t="shared" si="6"/>
        <v>782910.32617710112</v>
      </c>
      <c r="U17" s="11" t="str">
        <f>IF(J17=IFERROR(INDEX(Notebook_Reference!$F$3:$F$49,MATCH(C17,Notebook_Reference!$A$3:$A$49,0)),"?"),"OK match","DIFFERS")</f>
        <v>OK match</v>
      </c>
    </row>
    <row r="18" spans="2:21" x14ac:dyDescent="0.2">
      <c r="B18" s="9">
        <v>15</v>
      </c>
      <c r="C18" s="9" t="s">
        <v>36</v>
      </c>
      <c r="D18" s="11">
        <v>200</v>
      </c>
      <c r="E18" s="11">
        <v>-3.3449E-2</v>
      </c>
      <c r="F18" s="11">
        <v>1</v>
      </c>
      <c r="G18" s="9">
        <f t="shared" si="0"/>
        <v>8.9154382694225112E-2</v>
      </c>
      <c r="H18" s="9">
        <f t="shared" si="1"/>
        <v>1</v>
      </c>
      <c r="I18" s="12">
        <v>1</v>
      </c>
      <c r="J18" s="12">
        <v>200</v>
      </c>
      <c r="K18" s="9">
        <f t="shared" si="2"/>
        <v>90.698525923307017</v>
      </c>
      <c r="L18" s="9">
        <f t="shared" si="3"/>
        <v>200</v>
      </c>
      <c r="M18" s="9">
        <f t="shared" si="4"/>
        <v>100</v>
      </c>
      <c r="N18" s="11">
        <v>3291489.36</v>
      </c>
      <c r="O18" s="9">
        <f t="shared" si="5"/>
        <v>658297872</v>
      </c>
      <c r="S18" s="11">
        <v>714755</v>
      </c>
      <c r="T18" s="11">
        <f t="shared" si="6"/>
        <v>392396.62528251152</v>
      </c>
      <c r="U18" s="11" t="str">
        <f>IF(J18=IFERROR(INDEX(Notebook_Reference!$F$3:$F$49,MATCH(C18,Notebook_Reference!$A$3:$A$49,0)),"?"),"OK match","DIFFERS")</f>
        <v>OK match</v>
      </c>
    </row>
    <row r="19" spans="2:21" x14ac:dyDescent="0.2">
      <c r="B19" s="9">
        <v>16</v>
      </c>
      <c r="C19" s="9" t="s">
        <v>37</v>
      </c>
      <c r="D19" s="11">
        <v>200</v>
      </c>
      <c r="E19" s="11">
        <v>-0.101441</v>
      </c>
      <c r="F19" s="11">
        <v>0.47257500000000002</v>
      </c>
      <c r="G19" s="9">
        <f t="shared" si="0"/>
        <v>0.15172600807622838</v>
      </c>
      <c r="H19" s="9">
        <f t="shared" si="1"/>
        <v>0.47257447257447266</v>
      </c>
      <c r="I19" s="12">
        <v>0</v>
      </c>
      <c r="J19" s="12">
        <v>0</v>
      </c>
      <c r="K19" s="9">
        <f t="shared" si="2"/>
        <v>0</v>
      </c>
      <c r="L19" s="9">
        <f t="shared" si="3"/>
        <v>0</v>
      </c>
      <c r="M19" s="9">
        <f t="shared" si="4"/>
        <v>0</v>
      </c>
      <c r="N19" s="11">
        <v>3291493.11</v>
      </c>
      <c r="O19" s="9">
        <f t="shared" si="5"/>
        <v>0</v>
      </c>
      <c r="S19" s="11">
        <v>1483418</v>
      </c>
      <c r="T19" s="11">
        <f t="shared" si="6"/>
        <v>667794.13123069657</v>
      </c>
      <c r="U19" s="11" t="str">
        <f>IF(J19=IFERROR(INDEX(Notebook_Reference!$F$3:$F$49,MATCH(C19,Notebook_Reference!$A$3:$A$49,0)),"?"),"OK match","DIFFERS")</f>
        <v>OK match</v>
      </c>
    </row>
    <row r="20" spans="2:21" x14ac:dyDescent="0.2">
      <c r="B20" s="9">
        <v>17</v>
      </c>
      <c r="C20" s="9" t="s">
        <v>38</v>
      </c>
      <c r="D20" s="11">
        <v>232</v>
      </c>
      <c r="E20" s="11">
        <v>-8.3876000000000006E-2</v>
      </c>
      <c r="F20" s="11">
        <v>1</v>
      </c>
      <c r="G20" s="9">
        <f t="shared" si="0"/>
        <v>0.14624646188613158</v>
      </c>
      <c r="H20" s="9">
        <f t="shared" si="1"/>
        <v>1</v>
      </c>
      <c r="I20" s="12">
        <v>1</v>
      </c>
      <c r="J20" s="12">
        <v>232</v>
      </c>
      <c r="K20" s="9">
        <f t="shared" si="2"/>
        <v>113.15750749454952</v>
      </c>
      <c r="L20" s="9">
        <f t="shared" si="3"/>
        <v>232</v>
      </c>
      <c r="M20" s="9">
        <f t="shared" si="4"/>
        <v>100</v>
      </c>
      <c r="N20" s="11">
        <v>3291493.11</v>
      </c>
      <c r="O20" s="9">
        <f t="shared" si="5"/>
        <v>763626401.51999998</v>
      </c>
      <c r="S20" s="11">
        <v>1353109</v>
      </c>
      <c r="T20" s="11">
        <f t="shared" si="6"/>
        <v>643676.91603502783</v>
      </c>
      <c r="U20" s="11" t="str">
        <f>IF(J20=IFERROR(INDEX(Notebook_Reference!$F$3:$F$49,MATCH(C20,Notebook_Reference!$A$3:$A$49,0)),"?"),"OK match","DIFFERS")</f>
        <v>OK match</v>
      </c>
    </row>
    <row r="21" spans="2:21" x14ac:dyDescent="0.2">
      <c r="B21" s="9">
        <v>18</v>
      </c>
      <c r="C21" s="9" t="s">
        <v>39</v>
      </c>
      <c r="D21" s="11">
        <v>200</v>
      </c>
      <c r="E21" s="11">
        <v>5.5376000000000002E-2</v>
      </c>
      <c r="F21" s="11">
        <v>0.50817400000000001</v>
      </c>
      <c r="G21" s="9">
        <f t="shared" si="0"/>
        <v>0.20497149252842228</v>
      </c>
      <c r="H21" s="9">
        <f t="shared" si="1"/>
        <v>0.50817350817350815</v>
      </c>
      <c r="I21" s="12">
        <v>0</v>
      </c>
      <c r="J21" s="12">
        <v>0</v>
      </c>
      <c r="K21" s="9">
        <f t="shared" si="2"/>
        <v>0</v>
      </c>
      <c r="L21" s="9">
        <f t="shared" si="3"/>
        <v>0</v>
      </c>
      <c r="M21" s="9">
        <f t="shared" si="4"/>
        <v>0</v>
      </c>
      <c r="N21" s="11">
        <v>3291489.36</v>
      </c>
      <c r="O21" s="9">
        <f t="shared" si="5"/>
        <v>0</v>
      </c>
      <c r="S21" s="11">
        <v>1330408</v>
      </c>
      <c r="T21" s="11">
        <f t="shared" si="6"/>
        <v>902144.34239453508</v>
      </c>
      <c r="U21" s="11" t="str">
        <f>IF(J21=IFERROR(INDEX(Notebook_Reference!$F$3:$F$49,MATCH(C21,Notebook_Reference!$A$3:$A$49,0)),"?"),"OK match","DIFFERS")</f>
        <v>OK match</v>
      </c>
    </row>
    <row r="22" spans="2:21" x14ac:dyDescent="0.2">
      <c r="B22" s="9">
        <v>19</v>
      </c>
      <c r="C22" s="9" t="s">
        <v>40</v>
      </c>
      <c r="D22" s="11">
        <v>200</v>
      </c>
      <c r="E22" s="11">
        <v>-2.5201000000000001E-2</v>
      </c>
      <c r="F22" s="11">
        <v>0.88946000000000003</v>
      </c>
      <c r="G22" s="9">
        <f t="shared" si="0"/>
        <v>0.12936913292949026</v>
      </c>
      <c r="H22" s="9">
        <f t="shared" si="1"/>
        <v>0.88945988945988952</v>
      </c>
      <c r="I22" s="12">
        <v>1</v>
      </c>
      <c r="J22" s="12">
        <v>200</v>
      </c>
      <c r="K22" s="9">
        <f t="shared" si="2"/>
        <v>86.681087108330004</v>
      </c>
      <c r="L22" s="9">
        <f t="shared" si="3"/>
        <v>200</v>
      </c>
      <c r="M22" s="9">
        <f t="shared" si="4"/>
        <v>100</v>
      </c>
      <c r="N22" s="11">
        <v>3291493.11</v>
      </c>
      <c r="O22" s="9">
        <f t="shared" si="5"/>
        <v>658298622</v>
      </c>
      <c r="S22" s="11">
        <v>1014995</v>
      </c>
      <c r="T22" s="11">
        <f t="shared" si="6"/>
        <v>569394.45536136045</v>
      </c>
      <c r="U22" s="11" t="str">
        <f>IF(J22=IFERROR(INDEX(Notebook_Reference!$F$3:$F$49,MATCH(C22,Notebook_Reference!$A$3:$A$49,0)),"?"),"OK match","DIFFERS")</f>
        <v>OK match</v>
      </c>
    </row>
    <row r="23" spans="2:21" x14ac:dyDescent="0.2">
      <c r="B23" s="9">
        <v>20</v>
      </c>
      <c r="C23" s="9" t="s">
        <v>41</v>
      </c>
      <c r="D23" s="11">
        <v>261</v>
      </c>
      <c r="E23" s="11">
        <v>0.115532</v>
      </c>
      <c r="F23" s="11">
        <v>0.96267499999999995</v>
      </c>
      <c r="G23" s="9">
        <f t="shared" si="0"/>
        <v>0.10561191445195135</v>
      </c>
      <c r="H23" s="9">
        <f t="shared" si="1"/>
        <v>0.96267496267496266</v>
      </c>
      <c r="I23" s="12">
        <v>1</v>
      </c>
      <c r="J23" s="12">
        <v>261</v>
      </c>
      <c r="K23" s="9">
        <f t="shared" si="2"/>
        <v>117.04209190644168</v>
      </c>
      <c r="L23" s="9">
        <f t="shared" si="3"/>
        <v>261</v>
      </c>
      <c r="M23" s="9">
        <f t="shared" si="4"/>
        <v>100</v>
      </c>
      <c r="N23" s="11">
        <v>3291493.11</v>
      </c>
      <c r="O23" s="9">
        <f t="shared" si="5"/>
        <v>859079701.70999992</v>
      </c>
      <c r="S23" s="11">
        <v>607203</v>
      </c>
      <c r="T23" s="11">
        <f t="shared" si="6"/>
        <v>464831.42576069193</v>
      </c>
      <c r="U23" s="11" t="str">
        <f>IF(J23=IFERROR(INDEX(Notebook_Reference!$F$3:$F$49,MATCH(C23,Notebook_Reference!$A$3:$A$49,0)),"?"),"OK match","DIFFERS")</f>
        <v>OK match</v>
      </c>
    </row>
    <row r="24" spans="2:21" x14ac:dyDescent="0.2">
      <c r="B24" s="9">
        <v>21</v>
      </c>
      <c r="C24" s="9" t="s">
        <v>42</v>
      </c>
      <c r="D24" s="11">
        <v>200</v>
      </c>
      <c r="E24" s="11">
        <v>-6.6249000000000002E-2</v>
      </c>
      <c r="F24" s="11">
        <v>1</v>
      </c>
      <c r="G24" s="9">
        <f t="shared" si="0"/>
        <v>1.919511484767478E-2</v>
      </c>
      <c r="H24" s="9">
        <f t="shared" si="1"/>
        <v>1</v>
      </c>
      <c r="I24" s="12">
        <v>0</v>
      </c>
      <c r="J24" s="12">
        <v>0</v>
      </c>
      <c r="K24" s="9">
        <f t="shared" si="2"/>
        <v>0</v>
      </c>
      <c r="L24" s="9">
        <f t="shared" si="3"/>
        <v>0</v>
      </c>
      <c r="M24" s="9">
        <f t="shared" si="4"/>
        <v>0</v>
      </c>
      <c r="N24" s="11">
        <v>3291490.11</v>
      </c>
      <c r="O24" s="9">
        <f t="shared" si="5"/>
        <v>0</v>
      </c>
      <c r="S24" s="11">
        <v>168522</v>
      </c>
      <c r="T24" s="11">
        <f t="shared" si="6"/>
        <v>84483.76917117837</v>
      </c>
      <c r="U24" s="11" t="str">
        <f>IF(J24=IFERROR(INDEX(Notebook_Reference!$F$3:$F$49,MATCH(C24,Notebook_Reference!$A$3:$A$49,0)),"?"),"OK match","DIFFERS")</f>
        <v>OK match</v>
      </c>
    </row>
    <row r="25" spans="2:21" x14ac:dyDescent="0.2">
      <c r="B25" s="9">
        <v>22</v>
      </c>
      <c r="C25" s="9" t="s">
        <v>43</v>
      </c>
      <c r="D25" s="11">
        <v>380</v>
      </c>
      <c r="E25" s="11">
        <v>-0.14436099999999999</v>
      </c>
      <c r="F25" s="11">
        <v>0.72025799999999995</v>
      </c>
      <c r="G25" s="9">
        <f t="shared" si="0"/>
        <v>0.14669972322499808</v>
      </c>
      <c r="H25" s="9">
        <f t="shared" si="1"/>
        <v>0.72025772025772017</v>
      </c>
      <c r="I25" s="12">
        <v>0</v>
      </c>
      <c r="J25" s="12">
        <v>0</v>
      </c>
      <c r="K25" s="9">
        <f t="shared" si="2"/>
        <v>0</v>
      </c>
      <c r="L25" s="9">
        <f t="shared" si="3"/>
        <v>0</v>
      </c>
      <c r="M25" s="9">
        <f t="shared" si="4"/>
        <v>0</v>
      </c>
      <c r="N25" s="11">
        <v>3291822.96</v>
      </c>
      <c r="O25" s="9">
        <f t="shared" si="5"/>
        <v>0</v>
      </c>
      <c r="S25" s="11">
        <v>1664999</v>
      </c>
      <c r="T25" s="11">
        <f t="shared" si="6"/>
        <v>645671.86249046179</v>
      </c>
      <c r="U25" s="11" t="str">
        <f>IF(J25=IFERROR(INDEX(Notebook_Reference!$F$3:$F$49,MATCH(C25,Notebook_Reference!$A$3:$A$49,0)),"?"),"OK match","DIFFERS")</f>
        <v>OK match</v>
      </c>
    </row>
    <row r="26" spans="2:21" x14ac:dyDescent="0.2">
      <c r="B26" s="9">
        <v>23</v>
      </c>
      <c r="C26" s="9" t="s">
        <v>44</v>
      </c>
      <c r="D26" s="11">
        <v>200</v>
      </c>
      <c r="E26" s="11">
        <v>0.111692</v>
      </c>
      <c r="F26" s="11">
        <v>0.62291099999999999</v>
      </c>
      <c r="G26" s="9">
        <f t="shared" si="0"/>
        <v>0.19968267141330198</v>
      </c>
      <c r="H26" s="9">
        <f t="shared" si="1"/>
        <v>0.62291062291062294</v>
      </c>
      <c r="I26" s="12">
        <v>0</v>
      </c>
      <c r="J26" s="12">
        <v>0</v>
      </c>
      <c r="K26" s="9">
        <f t="shared" si="2"/>
        <v>0</v>
      </c>
      <c r="L26" s="9">
        <f t="shared" si="3"/>
        <v>0</v>
      </c>
      <c r="M26" s="9">
        <f t="shared" si="4"/>
        <v>0</v>
      </c>
      <c r="N26" s="11">
        <v>3291740.46</v>
      </c>
      <c r="O26" s="9">
        <f t="shared" si="5"/>
        <v>0</v>
      </c>
      <c r="S26" s="11">
        <v>1156483</v>
      </c>
      <c r="T26" s="11">
        <f t="shared" si="6"/>
        <v>878866.56855346821</v>
      </c>
      <c r="U26" s="11" t="str">
        <f>IF(J26=IFERROR(INDEX(Notebook_Reference!$F$3:$F$49,MATCH(C26,Notebook_Reference!$A$3:$A$49,0)),"?"),"OK match","DIFFERS")</f>
        <v>OK match</v>
      </c>
    </row>
    <row r="27" spans="2:21" x14ac:dyDescent="0.2">
      <c r="B27" s="9">
        <v>24</v>
      </c>
      <c r="C27" s="9" t="s">
        <v>45</v>
      </c>
      <c r="D27" s="11">
        <v>200</v>
      </c>
      <c r="E27" s="11">
        <v>-0.229431</v>
      </c>
      <c r="F27" s="11">
        <v>1</v>
      </c>
      <c r="G27" s="9">
        <f t="shared" si="0"/>
        <v>6.0960247457314522E-2</v>
      </c>
      <c r="H27" s="9">
        <f t="shared" si="1"/>
        <v>1</v>
      </c>
      <c r="I27" s="12">
        <v>1</v>
      </c>
      <c r="J27" s="12">
        <v>200</v>
      </c>
      <c r="K27" s="9">
        <f t="shared" si="2"/>
        <v>87.315229694877743</v>
      </c>
      <c r="L27" s="9">
        <f t="shared" si="3"/>
        <v>200</v>
      </c>
      <c r="M27" s="9">
        <f t="shared" si="4"/>
        <v>100</v>
      </c>
      <c r="N27" s="11">
        <v>3291494.61</v>
      </c>
      <c r="O27" s="9">
        <f t="shared" si="5"/>
        <v>658298922</v>
      </c>
      <c r="S27" s="11">
        <v>1015741</v>
      </c>
      <c r="T27" s="11">
        <f t="shared" si="6"/>
        <v>268305.3222484648</v>
      </c>
      <c r="U27" s="11" t="str">
        <f>IF(J27=IFERROR(INDEX(Notebook_Reference!$F$3:$F$49,MATCH(C27,Notebook_Reference!$A$3:$A$49,0)),"?"),"OK match","DIFFERS")</f>
        <v>OK match</v>
      </c>
    </row>
    <row r="28" spans="2:21" x14ac:dyDescent="0.2">
      <c r="B28" s="9">
        <v>25</v>
      </c>
      <c r="C28" s="9" t="s">
        <v>46</v>
      </c>
      <c r="D28" s="11">
        <v>200</v>
      </c>
      <c r="E28" s="11">
        <v>-0.29552899999999999</v>
      </c>
      <c r="F28" s="11">
        <v>0.34206799999999998</v>
      </c>
      <c r="G28" s="9">
        <f t="shared" si="0"/>
        <v>2.0559783329316905E-2</v>
      </c>
      <c r="H28" s="9">
        <f t="shared" si="1"/>
        <v>0.34206734206734207</v>
      </c>
      <c r="I28" s="12">
        <v>0</v>
      </c>
      <c r="J28" s="12">
        <v>0</v>
      </c>
      <c r="K28" s="9">
        <f t="shared" si="2"/>
        <v>0</v>
      </c>
      <c r="L28" s="9">
        <f t="shared" si="3"/>
        <v>0</v>
      </c>
      <c r="M28" s="9">
        <f t="shared" si="4"/>
        <v>0</v>
      </c>
      <c r="N28" s="11">
        <v>3291489.36</v>
      </c>
      <c r="O28" s="9">
        <f t="shared" si="5"/>
        <v>0</v>
      </c>
      <c r="S28" s="11">
        <v>538381</v>
      </c>
      <c r="T28" s="11">
        <f t="shared" si="6"/>
        <v>90490.106612405085</v>
      </c>
      <c r="U28" s="11" t="str">
        <f>IF(J28=IFERROR(INDEX(Notebook_Reference!$F$3:$F$49,MATCH(C28,Notebook_Reference!$A$3:$A$49,0)),"?"),"OK match","DIFFERS")</f>
        <v>OK match</v>
      </c>
    </row>
    <row r="29" spans="2:21" x14ac:dyDescent="0.2">
      <c r="B29" s="9">
        <v>26</v>
      </c>
      <c r="C29" s="9" t="s">
        <v>47</v>
      </c>
      <c r="D29" s="11">
        <v>200</v>
      </c>
      <c r="E29" s="11">
        <v>-0.12865599999999999</v>
      </c>
      <c r="F29" s="11">
        <v>0.986564</v>
      </c>
      <c r="G29" s="9">
        <f t="shared" si="0"/>
        <v>0.16885693587419365</v>
      </c>
      <c r="H29" s="9">
        <f t="shared" si="1"/>
        <v>0.98656398656398658</v>
      </c>
      <c r="I29" s="12">
        <v>1</v>
      </c>
      <c r="J29" s="12">
        <v>200</v>
      </c>
      <c r="K29" s="9">
        <f t="shared" si="2"/>
        <v>99.187951230022165</v>
      </c>
      <c r="L29" s="9">
        <f t="shared" si="3"/>
        <v>200</v>
      </c>
      <c r="M29" s="9">
        <f t="shared" si="4"/>
        <v>100</v>
      </c>
      <c r="N29" s="11">
        <v>3291493.11</v>
      </c>
      <c r="O29" s="9">
        <f t="shared" si="5"/>
        <v>658298622</v>
      </c>
      <c r="S29" s="11">
        <v>1809940</v>
      </c>
      <c r="T29" s="11">
        <f t="shared" si="6"/>
        <v>743192.76058282773</v>
      </c>
      <c r="U29" s="11" t="str">
        <f>IF(J29=IFERROR(INDEX(Notebook_Reference!$F$3:$F$49,MATCH(C29,Notebook_Reference!$A$3:$A$49,0)),"?"),"OK match","DIFFERS")</f>
        <v>OK match</v>
      </c>
    </row>
    <row r="30" spans="2:21" x14ac:dyDescent="0.2">
      <c r="B30" s="9">
        <v>27</v>
      </c>
      <c r="C30" s="9" t="s">
        <v>48</v>
      </c>
      <c r="D30" s="11">
        <v>202</v>
      </c>
      <c r="E30" s="11">
        <v>7.5174000000000005E-2</v>
      </c>
      <c r="F30" s="11">
        <v>1</v>
      </c>
      <c r="G30" s="9">
        <f t="shared" si="0"/>
        <v>0.20995519217432945</v>
      </c>
      <c r="H30" s="9">
        <f t="shared" si="1"/>
        <v>1</v>
      </c>
      <c r="I30" s="12">
        <v>1</v>
      </c>
      <c r="J30" s="12">
        <v>202</v>
      </c>
      <c r="K30" s="9">
        <f t="shared" si="2"/>
        <v>106.24656929152873</v>
      </c>
      <c r="L30" s="9">
        <f t="shared" si="3"/>
        <v>202</v>
      </c>
      <c r="M30" s="9">
        <f t="shared" si="4"/>
        <v>100</v>
      </c>
      <c r="N30" s="11">
        <v>3291909.21</v>
      </c>
      <c r="O30" s="9">
        <f t="shared" si="5"/>
        <v>664965660.41999996</v>
      </c>
      <c r="S30" s="11">
        <v>1307281</v>
      </c>
      <c r="T30" s="11">
        <f t="shared" si="6"/>
        <v>924079.18018240621</v>
      </c>
      <c r="U30" s="11" t="str">
        <f>IF(J30=IFERROR(INDEX(Notebook_Reference!$F$3:$F$49,MATCH(C30,Notebook_Reference!$A$3:$A$49,0)),"?"),"OK match","DIFFERS")</f>
        <v>OK match</v>
      </c>
    </row>
    <row r="31" spans="2:21" x14ac:dyDescent="0.2">
      <c r="B31" s="9">
        <v>28</v>
      </c>
      <c r="C31" s="9" t="s">
        <v>49</v>
      </c>
      <c r="D31" s="11">
        <v>553</v>
      </c>
      <c r="E31" s="11">
        <v>9.3993999999999994E-2</v>
      </c>
      <c r="F31" s="11">
        <v>1</v>
      </c>
      <c r="G31" s="9">
        <f t="shared" si="0"/>
        <v>0.23603055308621312</v>
      </c>
      <c r="H31" s="9">
        <f t="shared" si="1"/>
        <v>1</v>
      </c>
      <c r="I31" s="12">
        <v>1</v>
      </c>
      <c r="J31" s="12">
        <v>553</v>
      </c>
      <c r="K31" s="9">
        <f t="shared" si="2"/>
        <v>299.51493751400557</v>
      </c>
      <c r="L31" s="9">
        <f t="shared" si="3"/>
        <v>553</v>
      </c>
      <c r="M31" s="9">
        <f t="shared" si="4"/>
        <v>100</v>
      </c>
      <c r="N31" s="11">
        <v>3291507.36</v>
      </c>
      <c r="O31" s="9">
        <f t="shared" si="5"/>
        <v>1820203570.0799999</v>
      </c>
      <c r="S31" s="11">
        <v>1414887</v>
      </c>
      <c r="T31" s="11">
        <f t="shared" si="6"/>
        <v>1038845.0875404236</v>
      </c>
      <c r="U31" s="11" t="str">
        <f>IF(J31=IFERROR(INDEX(Notebook_Reference!$F$3:$F$49,MATCH(C31,Notebook_Reference!$A$3:$A$49,0)),"?"),"OK match","DIFFERS")</f>
        <v>OK match</v>
      </c>
    </row>
    <row r="32" spans="2:21" x14ac:dyDescent="0.2">
      <c r="B32" s="9">
        <v>29</v>
      </c>
      <c r="C32" s="9" t="s">
        <v>50</v>
      </c>
      <c r="D32" s="11">
        <v>328</v>
      </c>
      <c r="E32" s="11">
        <v>-7.3454000000000005E-2</v>
      </c>
      <c r="F32" s="11">
        <v>9.9999999999999995E-7</v>
      </c>
      <c r="G32" s="9">
        <f t="shared" si="0"/>
        <v>0.13798381969206766</v>
      </c>
      <c r="H32" s="9">
        <f t="shared" si="1"/>
        <v>0</v>
      </c>
      <c r="I32" s="12">
        <v>0</v>
      </c>
      <c r="J32" s="12">
        <v>0</v>
      </c>
      <c r="K32" s="9">
        <f t="shared" si="2"/>
        <v>0</v>
      </c>
      <c r="L32" s="9">
        <f t="shared" si="3"/>
        <v>0</v>
      </c>
      <c r="M32" s="9">
        <f t="shared" si="4"/>
        <v>0</v>
      </c>
      <c r="N32" s="11">
        <v>3291493.11</v>
      </c>
      <c r="O32" s="9">
        <f t="shared" si="5"/>
        <v>0</v>
      </c>
      <c r="S32" s="11">
        <v>1237263</v>
      </c>
      <c r="T32" s="11">
        <f t="shared" si="6"/>
        <v>607310.41542240477</v>
      </c>
      <c r="U32" s="11" t="str">
        <f>IF(J32=IFERROR(INDEX(Notebook_Reference!$F$3:$F$49,MATCH(C32,Notebook_Reference!$A$3:$A$49,0)),"?"),"OK match","DIFFERS")</f>
        <v>OK match</v>
      </c>
    </row>
    <row r="33" spans="2:21" x14ac:dyDescent="0.2">
      <c r="B33" s="9">
        <v>30</v>
      </c>
      <c r="C33" s="9" t="s">
        <v>51</v>
      </c>
      <c r="D33" s="11">
        <v>490</v>
      </c>
      <c r="E33" s="11">
        <v>0.176979</v>
      </c>
      <c r="F33" s="11">
        <v>1</v>
      </c>
      <c r="G33" s="9">
        <f t="shared" si="0"/>
        <v>1</v>
      </c>
      <c r="H33" s="9">
        <f t="shared" si="1"/>
        <v>1</v>
      </c>
      <c r="I33" s="12">
        <v>1</v>
      </c>
      <c r="J33" s="12">
        <v>490</v>
      </c>
      <c r="K33" s="9">
        <f t="shared" si="2"/>
        <v>490</v>
      </c>
      <c r="L33" s="9">
        <f t="shared" si="3"/>
        <v>490</v>
      </c>
      <c r="M33" s="9">
        <f t="shared" si="4"/>
        <v>100</v>
      </c>
      <c r="N33" s="11">
        <v>3291864.36</v>
      </c>
      <c r="O33" s="9">
        <f t="shared" si="5"/>
        <v>1613013536.3999999</v>
      </c>
      <c r="S33" s="11">
        <v>5148713</v>
      </c>
      <c r="T33" s="11">
        <f t="shared" si="6"/>
        <v>4401316.1599505823</v>
      </c>
      <c r="U33" s="11" t="str">
        <f>IF(J33=IFERROR(INDEX(Notebook_Reference!$F$3:$F$49,MATCH(C33,Notebook_Reference!$A$3:$A$49,0)),"?"),"OK match","DIFFERS")</f>
        <v>OK match</v>
      </c>
    </row>
    <row r="34" spans="2:21" x14ac:dyDescent="0.2">
      <c r="B34" s="9">
        <v>31</v>
      </c>
      <c r="C34" s="9" t="s">
        <v>52</v>
      </c>
      <c r="D34" s="11">
        <v>265</v>
      </c>
      <c r="E34" s="11">
        <v>3.6864000000000001E-2</v>
      </c>
      <c r="F34" s="11">
        <v>0.99551900000000004</v>
      </c>
      <c r="G34" s="9">
        <f t="shared" si="0"/>
        <v>0.37459022394529995</v>
      </c>
      <c r="H34" s="9">
        <f t="shared" si="1"/>
        <v>0.99551899551899559</v>
      </c>
      <c r="I34" s="12">
        <v>1</v>
      </c>
      <c r="J34" s="12">
        <v>265</v>
      </c>
      <c r="K34" s="9">
        <f t="shared" si="2"/>
        <v>165.08485913231624</v>
      </c>
      <c r="L34" s="9">
        <f t="shared" si="3"/>
        <v>265</v>
      </c>
      <c r="M34" s="9">
        <f t="shared" si="4"/>
        <v>100</v>
      </c>
      <c r="N34" s="11">
        <v>3291489.36</v>
      </c>
      <c r="O34" s="9">
        <f t="shared" si="5"/>
        <v>872244680.39999998</v>
      </c>
      <c r="S34" s="11">
        <v>2531811</v>
      </c>
      <c r="T34" s="11">
        <f t="shared" si="6"/>
        <v>1648690.0060099561</v>
      </c>
      <c r="U34" s="11" t="str">
        <f>IF(J34=IFERROR(INDEX(Notebook_Reference!$F$3:$F$49,MATCH(C34,Notebook_Reference!$A$3:$A$49,0)),"?"),"OK match","DIFFERS")</f>
        <v>OK match</v>
      </c>
    </row>
    <row r="35" spans="2:21" x14ac:dyDescent="0.2">
      <c r="B35" s="9">
        <v>32</v>
      </c>
      <c r="C35" s="9" t="s">
        <v>53</v>
      </c>
      <c r="D35" s="11">
        <v>200</v>
      </c>
      <c r="E35" s="11">
        <v>7.7769000000000005E-2</v>
      </c>
      <c r="F35" s="11">
        <v>1</v>
      </c>
      <c r="G35" s="9">
        <f t="shared" si="0"/>
        <v>0.16745406645207894</v>
      </c>
      <c r="H35" s="9">
        <f t="shared" si="1"/>
        <v>1</v>
      </c>
      <c r="I35" s="12">
        <v>1</v>
      </c>
      <c r="J35" s="12">
        <v>200</v>
      </c>
      <c r="K35" s="9">
        <f t="shared" si="2"/>
        <v>100.09448797424947</v>
      </c>
      <c r="L35" s="9">
        <f t="shared" si="3"/>
        <v>200</v>
      </c>
      <c r="M35" s="9">
        <f t="shared" si="4"/>
        <v>100</v>
      </c>
      <c r="N35" s="11">
        <v>3291489.36</v>
      </c>
      <c r="O35" s="9">
        <f t="shared" si="5"/>
        <v>658297872</v>
      </c>
      <c r="S35" s="11">
        <v>1037115</v>
      </c>
      <c r="T35" s="11">
        <f t="shared" si="6"/>
        <v>737018.28872497368</v>
      </c>
      <c r="U35" s="11" t="str">
        <f>IF(J35=IFERROR(INDEX(Notebook_Reference!$F$3:$F$49,MATCH(C35,Notebook_Reference!$A$3:$A$49,0)),"?"),"OK match","DIFFERS")</f>
        <v>OK match</v>
      </c>
    </row>
    <row r="36" spans="2:21" x14ac:dyDescent="0.2">
      <c r="B36" s="9">
        <v>33</v>
      </c>
      <c r="C36" s="9" t="s">
        <v>54</v>
      </c>
      <c r="D36" s="11">
        <v>200</v>
      </c>
      <c r="E36" s="11">
        <v>-2.117E-3</v>
      </c>
      <c r="F36" s="11">
        <v>0.870363</v>
      </c>
      <c r="G36" s="9">
        <f t="shared" si="0"/>
        <v>0.18314278258032671</v>
      </c>
      <c r="H36" s="9">
        <f t="shared" si="1"/>
        <v>0.87036287036287041</v>
      </c>
      <c r="I36" s="12">
        <v>1</v>
      </c>
      <c r="J36" s="12">
        <v>200</v>
      </c>
      <c r="K36" s="9">
        <f t="shared" si="2"/>
        <v>91.606163538668838</v>
      </c>
      <c r="L36" s="9">
        <f t="shared" si="3"/>
        <v>200</v>
      </c>
      <c r="M36" s="9">
        <f t="shared" si="4"/>
        <v>100</v>
      </c>
      <c r="N36" s="11">
        <v>3291493.11</v>
      </c>
      <c r="O36" s="9">
        <f t="shared" si="5"/>
        <v>658298622</v>
      </c>
      <c r="S36" s="11">
        <v>1355801</v>
      </c>
      <c r="T36" s="11">
        <f t="shared" si="6"/>
        <v>806069.28854910797</v>
      </c>
      <c r="U36" s="11" t="str">
        <f>IF(J36=IFERROR(INDEX(Notebook_Reference!$F$3:$F$49,MATCH(C36,Notebook_Reference!$A$3:$A$49,0)),"?"),"OK match","DIFFERS")</f>
        <v>OK match</v>
      </c>
    </row>
    <row r="37" spans="2:21" x14ac:dyDescent="0.2">
      <c r="B37" s="9">
        <v>34</v>
      </c>
      <c r="C37" s="9" t="s">
        <v>55</v>
      </c>
      <c r="D37" s="11">
        <v>200</v>
      </c>
      <c r="E37" s="11">
        <v>-2.6825999999999999E-2</v>
      </c>
      <c r="F37" s="11">
        <v>0.34650300000000001</v>
      </c>
      <c r="G37" s="9">
        <f t="shared" si="0"/>
        <v>8.999911956217943E-2</v>
      </c>
      <c r="H37" s="9">
        <f t="shared" si="1"/>
        <v>0.34650234650234657</v>
      </c>
      <c r="I37" s="12">
        <v>0</v>
      </c>
      <c r="J37" s="12">
        <v>0</v>
      </c>
      <c r="K37" s="9">
        <f t="shared" si="2"/>
        <v>0</v>
      </c>
      <c r="L37" s="9">
        <f t="shared" si="3"/>
        <v>0</v>
      </c>
      <c r="M37" s="9">
        <f t="shared" si="4"/>
        <v>0</v>
      </c>
      <c r="N37" s="11">
        <v>3291493.11</v>
      </c>
      <c r="O37" s="9">
        <f t="shared" si="5"/>
        <v>0</v>
      </c>
      <c r="S37" s="11">
        <v>709094</v>
      </c>
      <c r="T37" s="11">
        <f t="shared" si="6"/>
        <v>396114.57931034488</v>
      </c>
      <c r="U37" s="11" t="str">
        <f>IF(J37=IFERROR(INDEX(Notebook_Reference!$F$3:$F$49,MATCH(C37,Notebook_Reference!$A$3:$A$49,0)),"?"),"OK match","DIFFERS")</f>
        <v>OK match</v>
      </c>
    </row>
    <row r="38" spans="2:21" x14ac:dyDescent="0.2">
      <c r="B38" s="9">
        <v>35</v>
      </c>
      <c r="C38" s="9" t="s">
        <v>56</v>
      </c>
      <c r="D38" s="11">
        <v>227</v>
      </c>
      <c r="E38" s="11">
        <v>0.123615</v>
      </c>
      <c r="F38" s="11">
        <v>1</v>
      </c>
      <c r="G38" s="9">
        <f t="shared" si="0"/>
        <v>0.13199143683434561</v>
      </c>
      <c r="H38" s="9">
        <f t="shared" si="1"/>
        <v>1</v>
      </c>
      <c r="I38" s="12">
        <v>1</v>
      </c>
      <c r="J38" s="12">
        <v>227</v>
      </c>
      <c r="K38" s="9">
        <f t="shared" si="2"/>
        <v>108.77723369683787</v>
      </c>
      <c r="L38" s="9">
        <f t="shared" si="3"/>
        <v>227</v>
      </c>
      <c r="M38" s="9">
        <f t="shared" si="4"/>
        <v>100</v>
      </c>
      <c r="N38" s="11">
        <v>3293129.76</v>
      </c>
      <c r="O38" s="9">
        <f t="shared" si="5"/>
        <v>747540455.51999998</v>
      </c>
      <c r="S38" s="11">
        <v>747399</v>
      </c>
      <c r="T38" s="11">
        <f t="shared" si="6"/>
        <v>580936.0439141019</v>
      </c>
      <c r="U38" s="11" t="str">
        <f>IF(J38=IFERROR(INDEX(Notebook_Reference!$F$3:$F$49,MATCH(C38,Notebook_Reference!$A$3:$A$49,0)),"?"),"OK match","DIFFERS")</f>
        <v>OK match</v>
      </c>
    </row>
    <row r="39" spans="2:21" x14ac:dyDescent="0.2">
      <c r="B39" s="9">
        <v>36</v>
      </c>
      <c r="C39" s="9" t="s">
        <v>57</v>
      </c>
      <c r="D39" s="11">
        <v>229</v>
      </c>
      <c r="E39" s="11">
        <v>3.2625000000000001E-2</v>
      </c>
      <c r="F39" s="11">
        <v>1</v>
      </c>
      <c r="G39" s="9">
        <f t="shared" si="0"/>
        <v>0.13027680309357009</v>
      </c>
      <c r="H39" s="9">
        <f t="shared" si="1"/>
        <v>1</v>
      </c>
      <c r="I39" s="12">
        <v>1</v>
      </c>
      <c r="J39" s="12">
        <v>229</v>
      </c>
      <c r="K39" s="9">
        <f t="shared" si="2"/>
        <v>109.50003274505653</v>
      </c>
      <c r="L39" s="9">
        <f t="shared" si="3"/>
        <v>229</v>
      </c>
      <c r="M39" s="9">
        <f t="shared" si="4"/>
        <v>100</v>
      </c>
      <c r="N39" s="11">
        <v>3291493.11</v>
      </c>
      <c r="O39" s="9">
        <f t="shared" si="5"/>
        <v>753751922.18999994</v>
      </c>
      <c r="S39" s="11">
        <v>888936</v>
      </c>
      <c r="T39" s="11">
        <f t="shared" si="6"/>
        <v>573389.39872243011</v>
      </c>
      <c r="U39" s="11" t="str">
        <f>IF(J39=IFERROR(INDEX(Notebook_Reference!$F$3:$F$49,MATCH(C39,Notebook_Reference!$A$3:$A$49,0)),"?"),"OK match","DIFFERS")</f>
        <v>OK match</v>
      </c>
    </row>
    <row r="40" spans="2:21" x14ac:dyDescent="0.2">
      <c r="B40" s="9">
        <v>37</v>
      </c>
      <c r="C40" s="9" t="s">
        <v>58</v>
      </c>
      <c r="D40" s="11">
        <v>200</v>
      </c>
      <c r="E40" s="11">
        <v>0.117065</v>
      </c>
      <c r="F40" s="11">
        <v>0.497004</v>
      </c>
      <c r="G40" s="9">
        <f t="shared" si="0"/>
        <v>6.3386424536319069E-2</v>
      </c>
      <c r="H40" s="9">
        <f t="shared" si="1"/>
        <v>0.49700349700349705</v>
      </c>
      <c r="I40" s="12">
        <v>0</v>
      </c>
      <c r="J40" s="12">
        <v>0</v>
      </c>
      <c r="K40" s="9">
        <f t="shared" si="2"/>
        <v>0</v>
      </c>
      <c r="L40" s="9">
        <f t="shared" si="3"/>
        <v>0</v>
      </c>
      <c r="M40" s="9">
        <f t="shared" si="4"/>
        <v>0</v>
      </c>
      <c r="N40" s="11">
        <v>3291493.11</v>
      </c>
      <c r="O40" s="9">
        <f t="shared" si="5"/>
        <v>0</v>
      </c>
      <c r="S40" s="11">
        <v>363375</v>
      </c>
      <c r="T40" s="11">
        <f t="shared" si="6"/>
        <v>278983.69463318924</v>
      </c>
      <c r="U40" s="11" t="str">
        <f>IF(J40=IFERROR(INDEX(Notebook_Reference!$F$3:$F$49,MATCH(C40,Notebook_Reference!$A$3:$A$49,0)),"?"),"OK match","DIFFERS")</f>
        <v>OK match</v>
      </c>
    </row>
    <row r="41" spans="2:21" x14ac:dyDescent="0.2">
      <c r="B41" s="9">
        <v>38</v>
      </c>
      <c r="C41" s="9" t="s">
        <v>59</v>
      </c>
      <c r="D41" s="11">
        <v>200</v>
      </c>
      <c r="E41" s="11">
        <v>0.15895899999999999</v>
      </c>
      <c r="F41" s="11">
        <v>1</v>
      </c>
      <c r="G41" s="9">
        <f t="shared" si="0"/>
        <v>0.21895330880986807</v>
      </c>
      <c r="H41" s="9">
        <f t="shared" si="1"/>
        <v>1</v>
      </c>
      <c r="I41" s="12">
        <v>1</v>
      </c>
      <c r="J41" s="12">
        <v>200</v>
      </c>
      <c r="K41" s="9">
        <f t="shared" si="2"/>
        <v>106.27439705718417</v>
      </c>
      <c r="L41" s="9">
        <f t="shared" si="3"/>
        <v>200</v>
      </c>
      <c r="M41" s="9">
        <f t="shared" si="4"/>
        <v>100</v>
      </c>
      <c r="N41" s="11">
        <v>3291490.41</v>
      </c>
      <c r="O41" s="9">
        <f t="shared" si="5"/>
        <v>658298082</v>
      </c>
      <c r="S41" s="11">
        <v>1162959</v>
      </c>
      <c r="T41" s="11">
        <f t="shared" si="6"/>
        <v>963682.73633952253</v>
      </c>
      <c r="U41" s="11" t="str">
        <f>IF(J41=IFERROR(INDEX(Notebook_Reference!$F$3:$F$49,MATCH(C41,Notebook_Reference!$A$3:$A$49,0)),"?"),"OK match","DIFFERS")</f>
        <v>OK match</v>
      </c>
    </row>
    <row r="42" spans="2:21" x14ac:dyDescent="0.2">
      <c r="B42" s="9">
        <v>39</v>
      </c>
      <c r="C42" s="9" t="s">
        <v>60</v>
      </c>
      <c r="D42" s="11">
        <v>200</v>
      </c>
      <c r="E42" s="11">
        <v>0.27685399999999999</v>
      </c>
      <c r="F42" s="11">
        <v>0.76301099999999999</v>
      </c>
      <c r="G42" s="9">
        <f t="shared" si="0"/>
        <v>9.063288923204256E-2</v>
      </c>
      <c r="H42" s="9">
        <f t="shared" si="1"/>
        <v>0.76301076301076298</v>
      </c>
      <c r="I42" s="12">
        <v>0</v>
      </c>
      <c r="J42" s="12">
        <v>0</v>
      </c>
      <c r="K42" s="9">
        <f t="shared" si="2"/>
        <v>0</v>
      </c>
      <c r="L42" s="9">
        <f t="shared" si="3"/>
        <v>0</v>
      </c>
      <c r="M42" s="9">
        <f t="shared" si="4"/>
        <v>0</v>
      </c>
      <c r="N42" s="11">
        <v>3291493.11</v>
      </c>
      <c r="O42" s="9">
        <f t="shared" si="5"/>
        <v>0</v>
      </c>
      <c r="S42" s="11">
        <v>398904</v>
      </c>
      <c r="T42" s="11">
        <f t="shared" si="6"/>
        <v>398904.00000000006</v>
      </c>
      <c r="U42" s="11" t="str">
        <f>IF(J42=IFERROR(INDEX(Notebook_Reference!$F$3:$F$49,MATCH(C42,Notebook_Reference!$A$3:$A$49,0)),"?"),"OK match","DIFFERS")</f>
        <v>OK match</v>
      </c>
    </row>
    <row r="43" spans="2:21" x14ac:dyDescent="0.2">
      <c r="B43" s="9">
        <v>40</v>
      </c>
      <c r="C43" s="9" t="s">
        <v>61</v>
      </c>
      <c r="D43" s="11">
        <v>200</v>
      </c>
      <c r="E43" s="11">
        <v>-2.7469E-2</v>
      </c>
      <c r="F43" s="11">
        <v>0.76595299999999999</v>
      </c>
      <c r="G43" s="9">
        <f t="shared" si="0"/>
        <v>4.6876101193479354E-2</v>
      </c>
      <c r="H43" s="9">
        <f t="shared" si="1"/>
        <v>0.76595276595276596</v>
      </c>
      <c r="I43" s="12">
        <v>0</v>
      </c>
      <c r="J43" s="12">
        <v>0</v>
      </c>
      <c r="K43" s="9">
        <f t="shared" si="2"/>
        <v>0</v>
      </c>
      <c r="L43" s="9">
        <f t="shared" si="3"/>
        <v>0</v>
      </c>
      <c r="M43" s="9">
        <f t="shared" si="4"/>
        <v>0</v>
      </c>
      <c r="N43" s="11">
        <v>3291493.11</v>
      </c>
      <c r="O43" s="9">
        <f t="shared" si="5"/>
        <v>0</v>
      </c>
      <c r="S43" s="11">
        <v>369951</v>
      </c>
      <c r="T43" s="11">
        <f t="shared" si="6"/>
        <v>206316.54169833945</v>
      </c>
      <c r="U43" s="11" t="str">
        <f>IF(J43=IFERROR(INDEX(Notebook_Reference!$F$3:$F$49,MATCH(C43,Notebook_Reference!$A$3:$A$49,0)),"?"),"OK match","DIFFERS")</f>
        <v>OK match</v>
      </c>
    </row>
    <row r="44" spans="2:21" x14ac:dyDescent="0.2">
      <c r="B44" s="9">
        <v>41</v>
      </c>
      <c r="C44" s="9" t="s">
        <v>62</v>
      </c>
      <c r="D44" s="11">
        <v>200</v>
      </c>
      <c r="E44" s="11">
        <v>-0.10061199999999999</v>
      </c>
      <c r="F44" s="11">
        <v>1</v>
      </c>
      <c r="G44" s="9">
        <f t="shared" si="0"/>
        <v>4.7215042630682526E-2</v>
      </c>
      <c r="H44" s="9">
        <f t="shared" si="1"/>
        <v>1</v>
      </c>
      <c r="I44" s="12">
        <v>1</v>
      </c>
      <c r="J44" s="12">
        <v>200</v>
      </c>
      <c r="K44" s="9">
        <f t="shared" si="2"/>
        <v>85.665805115681906</v>
      </c>
      <c r="L44" s="9">
        <f t="shared" si="3"/>
        <v>200</v>
      </c>
      <c r="M44" s="9">
        <f t="shared" si="4"/>
        <v>100</v>
      </c>
      <c r="N44" s="11">
        <v>3291489.36</v>
      </c>
      <c r="O44" s="9">
        <f t="shared" si="5"/>
        <v>658297872</v>
      </c>
      <c r="S44" s="11">
        <v>460387</v>
      </c>
      <c r="T44" s="11">
        <f t="shared" si="6"/>
        <v>207808.33012317866</v>
      </c>
      <c r="U44" s="11" t="str">
        <f>IF(J44=IFERROR(INDEX(Notebook_Reference!$F$3:$F$49,MATCH(C44,Notebook_Reference!$A$3:$A$49,0)),"?"),"OK match","DIFFERS")</f>
        <v>OK match</v>
      </c>
    </row>
    <row r="45" spans="2:21" x14ac:dyDescent="0.2">
      <c r="B45" s="9">
        <v>42</v>
      </c>
      <c r="C45" s="9" t="s">
        <v>63</v>
      </c>
      <c r="D45" s="11">
        <v>200</v>
      </c>
      <c r="E45" s="11">
        <v>5.5596E-2</v>
      </c>
      <c r="F45" s="11">
        <v>0.96094100000000005</v>
      </c>
      <c r="G45" s="9">
        <f t="shared" si="0"/>
        <v>0.17874470092037953</v>
      </c>
      <c r="H45" s="9">
        <f t="shared" si="1"/>
        <v>0.96094096094096093</v>
      </c>
      <c r="I45" s="12">
        <v>1</v>
      </c>
      <c r="J45" s="12">
        <v>200</v>
      </c>
      <c r="K45" s="9">
        <f t="shared" si="2"/>
        <v>98.324640985722425</v>
      </c>
      <c r="L45" s="9">
        <f t="shared" si="3"/>
        <v>200</v>
      </c>
      <c r="M45" s="9">
        <f t="shared" si="4"/>
        <v>100</v>
      </c>
      <c r="N45" s="11">
        <v>3291610.71</v>
      </c>
      <c r="O45" s="9">
        <f t="shared" si="5"/>
        <v>658322142</v>
      </c>
      <c r="S45" s="11">
        <v>1159631</v>
      </c>
      <c r="T45" s="11">
        <f t="shared" si="6"/>
        <v>786711.94066640013</v>
      </c>
      <c r="U45" s="11" t="str">
        <f>IF(J45=IFERROR(INDEX(Notebook_Reference!$F$3:$F$49,MATCH(C45,Notebook_Reference!$A$3:$A$49,0)),"?"),"OK match","DIFFERS")</f>
        <v>OK match</v>
      </c>
    </row>
    <row r="46" spans="2:21" x14ac:dyDescent="0.2">
      <c r="B46" s="9">
        <v>43</v>
      </c>
      <c r="C46" s="9" t="s">
        <v>64</v>
      </c>
      <c r="D46" s="11">
        <v>200</v>
      </c>
      <c r="E46" s="11">
        <v>-0.112188</v>
      </c>
      <c r="F46" s="11">
        <v>0.79707899999999998</v>
      </c>
      <c r="G46" s="9">
        <f t="shared" si="0"/>
        <v>0.10716750778199753</v>
      </c>
      <c r="H46" s="9">
        <f t="shared" si="1"/>
        <v>0.79707879707879703</v>
      </c>
      <c r="I46" s="12">
        <v>0</v>
      </c>
      <c r="J46" s="12">
        <v>0</v>
      </c>
      <c r="K46" s="9">
        <f t="shared" si="2"/>
        <v>0</v>
      </c>
      <c r="L46" s="9">
        <f t="shared" si="3"/>
        <v>0</v>
      </c>
      <c r="M46" s="9">
        <f t="shared" si="4"/>
        <v>0</v>
      </c>
      <c r="N46" s="11">
        <v>3291493.11</v>
      </c>
      <c r="O46" s="9">
        <f t="shared" si="5"/>
        <v>0</v>
      </c>
      <c r="S46" s="11">
        <v>1085434</v>
      </c>
      <c r="T46" s="11">
        <f t="shared" si="6"/>
        <v>471678.08382253553</v>
      </c>
      <c r="U46" s="11" t="str">
        <f>IF(J46=IFERROR(INDEX(Notebook_Reference!$F$3:$F$49,MATCH(C46,Notebook_Reference!$A$3:$A$49,0)),"?"),"OK match","DIFFERS")</f>
        <v>OK match</v>
      </c>
    </row>
    <row r="47" spans="2:21" x14ac:dyDescent="0.2">
      <c r="B47" s="9">
        <v>44</v>
      </c>
      <c r="C47" s="9" t="s">
        <v>65</v>
      </c>
      <c r="D47" s="11">
        <v>209</v>
      </c>
      <c r="E47" s="11">
        <v>7.6423000000000005E-2</v>
      </c>
      <c r="F47" s="11">
        <v>1</v>
      </c>
      <c r="G47" s="9">
        <f t="shared" si="0"/>
        <v>0.2193086138995809</v>
      </c>
      <c r="H47" s="9">
        <f t="shared" si="1"/>
        <v>1</v>
      </c>
      <c r="I47" s="12">
        <v>1</v>
      </c>
      <c r="J47" s="12">
        <v>209</v>
      </c>
      <c r="K47" s="9">
        <f t="shared" si="2"/>
        <v>111.10130018300745</v>
      </c>
      <c r="L47" s="9">
        <f t="shared" si="3"/>
        <v>209</v>
      </c>
      <c r="M47" s="9">
        <f t="shared" si="4"/>
        <v>100</v>
      </c>
      <c r="N47" s="11">
        <v>3291489.36</v>
      </c>
      <c r="O47" s="9">
        <f t="shared" si="5"/>
        <v>687921276.24000001</v>
      </c>
      <c r="S47" s="11">
        <v>1362022</v>
      </c>
      <c r="T47" s="11">
        <f t="shared" si="6"/>
        <v>965246.54637258826</v>
      </c>
      <c r="U47" s="11" t="str">
        <f>IF(J47=IFERROR(INDEX(Notebook_Reference!$F$3:$F$49,MATCH(C47,Notebook_Reference!$A$3:$A$49,0)),"?"),"OK match","DIFFERS")</f>
        <v>OK match</v>
      </c>
    </row>
    <row r="48" spans="2:21" x14ac:dyDescent="0.2">
      <c r="B48" s="9">
        <v>45</v>
      </c>
      <c r="C48" s="9" t="s">
        <v>66</v>
      </c>
      <c r="D48" s="11">
        <v>200</v>
      </c>
      <c r="E48" s="11">
        <v>0.108649</v>
      </c>
      <c r="F48" s="11">
        <v>0.88141000000000003</v>
      </c>
      <c r="G48" s="9">
        <f t="shared" si="0"/>
        <v>0.11859394992121211</v>
      </c>
      <c r="H48" s="9">
        <f t="shared" si="1"/>
        <v>0.88140988140988141</v>
      </c>
      <c r="I48" s="12">
        <v>1</v>
      </c>
      <c r="J48" s="12">
        <v>195</v>
      </c>
      <c r="K48" s="9">
        <f t="shared" si="2"/>
        <v>82.625462890752573</v>
      </c>
      <c r="L48" s="9">
        <f t="shared" si="3"/>
        <v>200</v>
      </c>
      <c r="M48" s="9">
        <f t="shared" si="4"/>
        <v>100</v>
      </c>
      <c r="N48" s="11">
        <v>3291489.36</v>
      </c>
      <c r="O48" s="9">
        <f t="shared" si="5"/>
        <v>641840425.19999993</v>
      </c>
      <c r="S48" s="11">
        <v>690870</v>
      </c>
      <c r="T48" s="11">
        <f t="shared" si="6"/>
        <v>521969.46826060093</v>
      </c>
      <c r="U48" s="11" t="str">
        <f>IF(J48=IFERROR(INDEX(Notebook_Reference!$F$3:$F$49,MATCH(C48,Notebook_Reference!$A$3:$A$49,0)),"?"),"OK match","DIFFERS")</f>
        <v>OK match</v>
      </c>
    </row>
    <row r="49" spans="2:21" x14ac:dyDescent="0.2">
      <c r="B49" s="9">
        <v>46</v>
      </c>
      <c r="C49" s="9" t="s">
        <v>67</v>
      </c>
      <c r="D49" s="11">
        <v>200</v>
      </c>
      <c r="E49" s="11">
        <v>-0.41117100000000001</v>
      </c>
      <c r="F49" s="11">
        <v>1</v>
      </c>
      <c r="G49" s="9">
        <f t="shared" si="0"/>
        <v>0</v>
      </c>
      <c r="H49" s="9">
        <f t="shared" si="1"/>
        <v>1</v>
      </c>
      <c r="I49" s="12">
        <v>0</v>
      </c>
      <c r="J49" s="12">
        <v>0</v>
      </c>
      <c r="K49" s="9">
        <f t="shared" si="2"/>
        <v>0</v>
      </c>
      <c r="L49" s="9">
        <f t="shared" si="3"/>
        <v>0</v>
      </c>
      <c r="M49" s="9">
        <f t="shared" si="4"/>
        <v>0</v>
      </c>
      <c r="N49" s="11">
        <v>3294156.36</v>
      </c>
      <c r="O49" s="9">
        <f t="shared" si="5"/>
        <v>0</v>
      </c>
      <c r="S49" s="11">
        <v>914813</v>
      </c>
      <c r="T49" s="11">
        <f t="shared" si="6"/>
        <v>0</v>
      </c>
      <c r="U49" s="11" t="str">
        <f>IF(J49=IFERROR(INDEX(Notebook_Reference!$F$3:$F$49,MATCH(C49,Notebook_Reference!$A$3:$A$49,0)),"?"),"OK match","DIFFERS")</f>
        <v>OK match</v>
      </c>
    </row>
    <row r="50" spans="2:21" x14ac:dyDescent="0.2">
      <c r="B50" s="9">
        <v>47</v>
      </c>
      <c r="C50" s="9" t="s">
        <v>68</v>
      </c>
      <c r="D50" s="11">
        <v>200</v>
      </c>
      <c r="E50" s="11">
        <v>-0.12347</v>
      </c>
      <c r="F50" s="11">
        <v>9.9999999999999995E-7</v>
      </c>
      <c r="G50" s="9">
        <f t="shared" si="0"/>
        <v>6.9111444946957007E-2</v>
      </c>
      <c r="H50" s="9">
        <f t="shared" si="1"/>
        <v>0</v>
      </c>
      <c r="I50" s="12">
        <v>0</v>
      </c>
      <c r="J50" s="12">
        <v>0</v>
      </c>
      <c r="K50" s="9">
        <f t="shared" si="2"/>
        <v>0</v>
      </c>
      <c r="L50" s="9">
        <f t="shared" si="3"/>
        <v>0</v>
      </c>
      <c r="M50" s="9">
        <f t="shared" si="4"/>
        <v>0</v>
      </c>
      <c r="N50" s="11">
        <v>3291489.36</v>
      </c>
      <c r="O50" s="9">
        <f t="shared" si="5"/>
        <v>0</v>
      </c>
      <c r="S50" s="11">
        <v>727437</v>
      </c>
      <c r="T50" s="11">
        <f t="shared" si="6"/>
        <v>304181.31948257692</v>
      </c>
      <c r="U50" s="11" t="str">
        <f>IF(J50=IFERROR(INDEX(Notebook_Reference!$F$3:$F$49,MATCH(C50,Notebook_Reference!$A$3:$A$49,0)),"?"),"OK match","DIFFERS")</f>
        <v>OK match</v>
      </c>
    </row>
    <row r="51" spans="2:21" x14ac:dyDescent="0.2">
      <c r="B51" s="6" t="s">
        <v>95</v>
      </c>
    </row>
    <row r="52" spans="2:21" x14ac:dyDescent="0.2">
      <c r="B52" s="6" t="s">
        <v>96</v>
      </c>
      <c r="D52" s="6">
        <f>SUM(I4:I50)</f>
        <v>26</v>
      </c>
    </row>
    <row r="53" spans="2:21" x14ac:dyDescent="0.2">
      <c r="B53" s="6" t="s">
        <v>97</v>
      </c>
      <c r="D53" s="6">
        <f>SUM(J4:J50)</f>
        <v>6000</v>
      </c>
    </row>
    <row r="54" spans="2:21" x14ac:dyDescent="0.2">
      <c r="B54" s="13" t="s">
        <v>98</v>
      </c>
      <c r="C54" s="14">
        <v>73200000000</v>
      </c>
    </row>
    <row r="55" spans="2:21" x14ac:dyDescent="0.2">
      <c r="B55" s="13" t="s">
        <v>99</v>
      </c>
      <c r="C55" s="14">
        <v>6000</v>
      </c>
    </row>
    <row r="56" spans="2:21" x14ac:dyDescent="0.2">
      <c r="B56" s="13" t="s">
        <v>100</v>
      </c>
      <c r="C56" s="14">
        <v>100</v>
      </c>
    </row>
    <row r="57" spans="2:21" x14ac:dyDescent="0.2">
      <c r="B57" s="13" t="s">
        <v>101</v>
      </c>
      <c r="C57" s="14">
        <v>0.6</v>
      </c>
    </row>
    <row r="58" spans="2:21" x14ac:dyDescent="0.2">
      <c r="B58" s="13" t="s">
        <v>102</v>
      </c>
      <c r="C58" s="14">
        <v>0.4</v>
      </c>
    </row>
    <row r="60" spans="2:21" x14ac:dyDescent="0.2">
      <c r="B60" s="33" t="s">
        <v>103</v>
      </c>
      <c r="C60" s="33"/>
      <c r="D60" s="33"/>
      <c r="E60" s="33"/>
      <c r="F60" s="33"/>
      <c r="G60" s="33"/>
      <c r="H60" s="33"/>
      <c r="I60" s="33"/>
      <c r="J60" s="33"/>
      <c r="K60" s="33"/>
      <c r="L60" s="33"/>
      <c r="M60" s="33"/>
      <c r="N60" s="33"/>
    </row>
    <row r="61" spans="2:21" x14ac:dyDescent="0.2">
      <c r="B61" s="33"/>
      <c r="C61" s="33"/>
      <c r="D61" s="33"/>
      <c r="E61" s="33"/>
      <c r="F61" s="33"/>
      <c r="G61" s="33"/>
      <c r="H61" s="33"/>
      <c r="I61" s="33"/>
      <c r="J61" s="33"/>
      <c r="K61" s="33"/>
      <c r="L61" s="33"/>
      <c r="M61" s="33"/>
      <c r="N61" s="33"/>
    </row>
    <row r="62" spans="2:21" x14ac:dyDescent="0.2">
      <c r="B62" s="1" t="s">
        <v>104</v>
      </c>
      <c r="D62" s="1" t="str">
        <f>COUNTIF(U4:U50,"OK match")&amp;" / 47 counties match"</f>
        <v>47 / 47 counties match</v>
      </c>
    </row>
  </sheetData>
  <mergeCells count="4">
    <mergeCell ref="B1:N1"/>
    <mergeCell ref="Q1:R1"/>
    <mergeCell ref="B2:O2"/>
    <mergeCell ref="B60:N6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D19"/>
  <sheetViews>
    <sheetView showGridLines="0" tabSelected="1" zoomScaleNormal="100" workbookViewId="0">
      <selection activeCell="C4" sqref="C4"/>
    </sheetView>
  </sheetViews>
  <sheetFormatPr baseColWidth="10" defaultColWidth="8.6640625" defaultRowHeight="15" x14ac:dyDescent="0.2"/>
  <cols>
    <col min="1" max="1" width="3" customWidth="1"/>
    <col min="2" max="2" width="34" customWidth="1"/>
    <col min="3" max="3" width="22" customWidth="1"/>
    <col min="4" max="4" width="60" customWidth="1"/>
  </cols>
  <sheetData>
    <row r="1" spans="2:4" ht="16.5" customHeight="1" x14ac:dyDescent="0.2">
      <c r="B1" s="30" t="s">
        <v>105</v>
      </c>
      <c r="C1" s="30"/>
      <c r="D1" s="30"/>
    </row>
    <row r="2" spans="2:4" x14ac:dyDescent="0.2">
      <c r="B2" s="33" t="s">
        <v>106</v>
      </c>
      <c r="C2" s="33"/>
      <c r="D2" s="33"/>
    </row>
    <row r="4" spans="2:4" x14ac:dyDescent="0.2">
      <c r="B4" s="15" t="s">
        <v>107</v>
      </c>
      <c r="C4" s="16" t="s">
        <v>63</v>
      </c>
      <c r="D4" s="17"/>
    </row>
    <row r="5" spans="2:4" x14ac:dyDescent="0.2">
      <c r="B5" s="17"/>
      <c r="C5" s="17"/>
      <c r="D5" s="17"/>
    </row>
    <row r="6" spans="2:4" x14ac:dyDescent="0.2">
      <c r="B6" s="15" t="s">
        <v>108</v>
      </c>
      <c r="C6" s="9">
        <f>INDEX(MILP_Model!$D$4:$D$50,MATCH($C$4,MILP_Model!$C$4:$C$50,0))</f>
        <v>200</v>
      </c>
      <c r="D6" s="18" t="s">
        <v>109</v>
      </c>
    </row>
    <row r="7" spans="2:4" x14ac:dyDescent="0.2">
      <c r="B7" s="15" t="s">
        <v>110</v>
      </c>
      <c r="C7" s="9">
        <f>INDEX(MILP_Model!$E$4:$E$50,MATCH($C$4,MILP_Model!$C$4:$C$50,0))</f>
        <v>5.5596E-2</v>
      </c>
      <c r="D7" s="18" t="s">
        <v>111</v>
      </c>
    </row>
    <row r="8" spans="2:4" x14ac:dyDescent="0.2">
      <c r="B8" s="15" t="s">
        <v>112</v>
      </c>
      <c r="C8" s="9">
        <f>INDEX(MILP_Model!$F$4:$F$50,MATCH($C$4,MILP_Model!$C$4:$C$50,0))</f>
        <v>0.96094100000000005</v>
      </c>
      <c r="D8" s="18" t="s">
        <v>113</v>
      </c>
    </row>
    <row r="9" spans="2:4" x14ac:dyDescent="0.2">
      <c r="B9" s="15" t="s">
        <v>14</v>
      </c>
      <c r="C9" s="9">
        <f>INDEX(MILP_Model!$N$4:$N$50,MATCH($C$4,MILP_Model!$C$4:$C$50,0))</f>
        <v>3291610.71</v>
      </c>
      <c r="D9" s="18" t="s">
        <v>114</v>
      </c>
    </row>
    <row r="10" spans="2:4" x14ac:dyDescent="0.2">
      <c r="B10" s="15" t="s">
        <v>115</v>
      </c>
      <c r="C10" s="9">
        <f>INDEX(MILP_Model!$J$4:$J$50,MATCH($C$4,MILP_Model!$C$4:$C$50,0))</f>
        <v>200</v>
      </c>
      <c r="D10" s="18" t="s">
        <v>116</v>
      </c>
    </row>
    <row r="11" spans="2:4" x14ac:dyDescent="0.2">
      <c r="B11" s="15" t="s">
        <v>117</v>
      </c>
      <c r="C11" s="9" t="str">
        <f>IF(INDEX(MILP_Model!$I$4:$I$50,MATCH($C$4,MILP_Model!$C$4:$C$50,0))=1,"Yes","No")</f>
        <v>Yes</v>
      </c>
      <c r="D11" s="18" t="s">
        <v>118</v>
      </c>
    </row>
    <row r="12" spans="2:4" x14ac:dyDescent="0.2">
      <c r="B12" s="17"/>
      <c r="C12" s="17"/>
      <c r="D12" s="17"/>
    </row>
    <row r="13" spans="2:4" x14ac:dyDescent="0.2">
      <c r="B13" s="15" t="s">
        <v>119</v>
      </c>
      <c r="C13" s="17"/>
      <c r="D13" s="17"/>
    </row>
    <row r="14" spans="2:4" x14ac:dyDescent="0.2">
      <c r="B14" s="15" t="s">
        <v>120</v>
      </c>
      <c r="C14" s="9" t="str">
        <f>IF(C11="No","Not activated",IF(C10&gt;=C6-0.5,"CAPACITY - already at its delivery ceiling; more money/quota would not help without relaxing this",IF(MILP_Model!$R$6&lt;1,"NATIONAL QUOTA - the 6,000-unit national cap is exhausted",IF(MILP_Model!$R$5&lt;C9,"BUDGET - national revenue is exhausted before this county could get more","UNCONSTRAINED - could take more units without hitting a national limit"))))</f>
        <v>CAPACITY - already at its delivery ceiling; more money/quota would not help without relaxing this</v>
      </c>
      <c r="D14" s="17"/>
    </row>
    <row r="15" spans="2:4" x14ac:dyDescent="0.2">
      <c r="B15" s="17"/>
      <c r="C15" s="17"/>
      <c r="D15" s="17"/>
    </row>
    <row r="16" spans="2:4" x14ac:dyDescent="0.2">
      <c r="B16" s="15" t="s">
        <v>121</v>
      </c>
      <c r="C16" s="17"/>
      <c r="D16" s="17"/>
    </row>
    <row r="17" spans="2:4" x14ac:dyDescent="0.2">
      <c r="B17" s="15" t="s">
        <v>122</v>
      </c>
      <c r="C17" s="9">
        <f>C6-C10</f>
        <v>0</v>
      </c>
      <c r="D17" s="18" t="s">
        <v>123</v>
      </c>
    </row>
    <row r="18" spans="2:4" x14ac:dyDescent="0.2">
      <c r="B18" s="15" t="s">
        <v>124</v>
      </c>
      <c r="C18" s="9">
        <f>MIN(C17,FLOOR(MILP_Model!$R$5/C9,1),MILP_Model!$R$6)</f>
        <v>0</v>
      </c>
      <c r="D18" s="18" t="s">
        <v>125</v>
      </c>
    </row>
    <row r="19" spans="2:4" x14ac:dyDescent="0.2">
      <c r="B19" s="15" t="s">
        <v>126</v>
      </c>
      <c r="C19" s="9">
        <f>MIN(C6,FLOOR(MILP_Model!$C$54/C9,1),MILP_Model!$C$55)</f>
        <v>200</v>
      </c>
      <c r="D19" s="18" t="s">
        <v>127</v>
      </c>
    </row>
  </sheetData>
  <mergeCells count="2">
    <mergeCell ref="B1:D1"/>
    <mergeCell ref="B2:D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showErrorMessage="1" errorTitle="Invalid county" error="Pick a county from the MILP_Model list." xr:uid="{00000000-0002-0000-0300-000000000000}">
          <x14:formula1>
            <xm:f>MILP_Model!$C$4:$C$50</xm:f>
          </x14:formula1>
          <x14:formula2>
            <xm:f>0</xm:f>
          </x14:formula2>
          <xm:sqref>C4</xm:sqref>
        </x14:dataValidation>
      </x14:dataValidations>
    </ext>
  </extLst>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README</vt:lpstr>
      <vt:lpstr>Notebook_Reference</vt:lpstr>
      <vt:lpstr>Answer Report 1</vt:lpstr>
      <vt:lpstr>MILP_Model</vt:lpstr>
      <vt:lpstr>County_Spotlight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Microsoft Office User</cp:lastModifiedBy>
  <cp:revision>0</cp:revision>
  <dcterms:created xsi:type="dcterms:W3CDTF">2026-09-04T07:14:04Z</dcterms:created>
  <dcterms:modified xsi:type="dcterms:W3CDTF">2026-09-04T10:16:10Z</dcterms:modified>
  <dc:language>en-US</dc:language>
</cp:coreProperties>
</file>